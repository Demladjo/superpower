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G:\Einstellrichtwerte\OII2\"/>
    </mc:Choice>
  </mc:AlternateContent>
  <xr:revisionPtr revIDLastSave="0" documentId="13_ncr:1_{B2A603F9-CB0E-470F-BA08-DEBAAB04F483}" xr6:coauthVersionLast="47" xr6:coauthVersionMax="47" xr10:uidLastSave="{00000000-0000-0000-0000-000000000000}"/>
  <bookViews>
    <workbookView xWindow="-108" yWindow="-108" windowWidth="23256" windowHeight="13896" tabRatio="882" activeTab="4" xr2:uid="{00000000-000D-0000-FFFF-FFFF00000000}"/>
  </bookViews>
  <sheets>
    <sheet name="Infos" sheetId="1" r:id="rId1"/>
    <sheet name="Probleme &amp; Massnahmen 1" sheetId="2" state="veryHidden" r:id="rId2"/>
    <sheet name="Probleme &amp; Massnahmen 2" sheetId="17" state="veryHidden" r:id="rId3"/>
    <sheet name="buff" sheetId="21" state="veryHidden" r:id="rId4"/>
    <sheet name="Einstellrichtwerte" sheetId="3" r:id="rId5"/>
    <sheet name="Aggregat 2" sheetId="4" r:id="rId6"/>
    <sheet name="Füllstudie" sheetId="5" state="veryHidden" r:id="rId7"/>
    <sheet name="Wärmebild" sheetId="6" state="veryHidden" r:id="rId8"/>
    <sheet name="Siegelpunkt" sheetId="7" state="veryHidden" r:id="rId9"/>
    <sheet name="25-Schussanalyse" sheetId="16" state="veryHidden" r:id="rId10"/>
    <sheet name="Rüsthilfe" sheetId="20" r:id="rId11"/>
    <sheet name="Arbeitshinweis" sheetId="10" r:id="rId12"/>
  </sheets>
  <functionGroups builtInGroupCount="19"/>
  <definedNames>
    <definedName name="language">#REF!</definedName>
    <definedName name="mmorccm">Einstellrichtwerte!$W$17</definedName>
    <definedName name="_xlnm.Print_Area" localSheetId="9">'25-Schussanalyse'!$A$1:$AF$65</definedName>
    <definedName name="_xlnm.Print_Area" localSheetId="5">'Aggregat 2'!$A$1:$AL$62</definedName>
    <definedName name="_xlnm.Print_Area" localSheetId="11">Arbeitshinweis!$A$1:$G$47</definedName>
    <definedName name="_xlnm.Print_Area" localSheetId="4">Einstellrichtwerte!$A$1:$AN$78</definedName>
    <definedName name="_xlnm.Print_Area" localSheetId="6">Füllstudie!$A$1:$AJ$57</definedName>
    <definedName name="_xlnm.Print_Area" localSheetId="0">Infos!$A:$D</definedName>
    <definedName name="_xlnm.Print_Area" localSheetId="1">'Probleme &amp; Massnahmen 1'!$A$1:$K$89</definedName>
    <definedName name="_xlnm.Print_Area" localSheetId="2">'Probleme &amp; Massnahmen 2'!$A$1:$K$89</definedName>
    <definedName name="_xlnm.Print_Area" localSheetId="10">Rüsthilfe!$A$1:$AL$70</definedName>
    <definedName name="_xlnm.Print_Area" localSheetId="8">Siegelpunkt!$A$1:$AK$54</definedName>
    <definedName name="_xlnm.Print_Area" localSheetId="7">Wärmebild!$A$1:$AJ$57</definedName>
    <definedName name="_xlnm.Print_Titles" localSheetId="1">'Probleme &amp; Massnahmen 1'!$5:$5</definedName>
    <definedName name="_xlnm.Print_Titles" localSheetId="2">'Probleme &amp; Massnahmen 2'!$5:$5</definedName>
    <definedName name="Sprache">Infos!$M$3</definedName>
    <definedName name="wahl">Infos!$I$43:$I$45</definedName>
    <definedName name="Wahl2">Infos!$C$18:$C$19</definedName>
  </definedNames>
  <calcPr calcId="191029"/>
  <customWorkbookViews>
    <customWorkbookView name="116admin - Persönliche Ansicht" guid="{6DE06876-0E46-46FE-AC8C-8F0FAAA09620}" mergeInterval="0" personalView="1" maximized="1" windowWidth="1020" windowHeight="551" tabRatio="77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7" i="10" l="1"/>
  <c r="H69" i="20"/>
  <c r="M6" i="16"/>
  <c r="AA1" i="7"/>
  <c r="AA1" i="6"/>
  <c r="AA1" i="5"/>
  <c r="I77" i="3"/>
  <c r="C3" i="17"/>
  <c r="C3" i="2"/>
  <c r="Q3" i="1"/>
  <c r="A1" i="21" s="1"/>
  <c r="A5" i="21" l="1"/>
  <c r="A2" i="21"/>
  <c r="A3" i="21"/>
  <c r="A4" i="21"/>
  <c r="H1" i="2"/>
  <c r="H1" i="17"/>
  <c r="C7" i="1"/>
  <c r="I5" i="17" l="1"/>
  <c r="I5" i="2"/>
  <c r="AM34" i="3" l="1"/>
  <c r="P35" i="3"/>
  <c r="N35" i="3"/>
  <c r="K88" i="17" l="1"/>
  <c r="K88" i="2"/>
  <c r="J88" i="17"/>
  <c r="J88" i="2"/>
  <c r="H88" i="2"/>
  <c r="H88" i="17"/>
  <c r="I89" i="17" l="1"/>
  <c r="I88" i="17"/>
  <c r="G88" i="17"/>
  <c r="I89" i="2" l="1"/>
  <c r="I88" i="2"/>
  <c r="G88" i="2"/>
  <c r="P5" i="7" l="1"/>
  <c r="A100" i="20"/>
  <c r="A100" i="16"/>
  <c r="I45" i="1"/>
  <c r="B100" i="1" l="1"/>
  <c r="A100" i="10"/>
  <c r="B100" i="10" s="1"/>
  <c r="B100" i="20"/>
  <c r="B100" i="16"/>
  <c r="A100" i="7"/>
  <c r="B100" i="7" s="1"/>
  <c r="A100" i="6"/>
  <c r="B100" i="6" s="1"/>
  <c r="A100" i="5"/>
  <c r="B100" i="5" s="1"/>
  <c r="A100" i="4"/>
  <c r="B100" i="4" s="1"/>
  <c r="A100" i="3"/>
  <c r="B100" i="3" s="1"/>
  <c r="A100" i="17"/>
  <c r="B100" i="17" s="1"/>
  <c r="A100" i="2"/>
  <c r="B100" i="2" s="1"/>
  <c r="C10" i="1"/>
  <c r="F7" i="1"/>
  <c r="E47" i="10"/>
  <c r="C47" i="10"/>
  <c r="A1" i="10"/>
  <c r="A5" i="10"/>
  <c r="D1" i="10"/>
  <c r="A2" i="10"/>
  <c r="B55" i="20"/>
  <c r="B54" i="20"/>
  <c r="B53" i="20"/>
  <c r="B52" i="20"/>
  <c r="B51" i="20"/>
  <c r="B50" i="20"/>
  <c r="B49" i="20"/>
  <c r="B48" i="20"/>
  <c r="B47" i="20"/>
  <c r="B46" i="20"/>
  <c r="B34" i="20"/>
  <c r="B35" i="20"/>
  <c r="B36" i="20"/>
  <c r="B37" i="20"/>
  <c r="B38" i="20"/>
  <c r="B39" i="20"/>
  <c r="B40" i="20"/>
  <c r="B41" i="20"/>
  <c r="B42" i="20"/>
  <c r="B33" i="20"/>
  <c r="B57" i="20"/>
  <c r="Q44" i="20"/>
  <c r="D45" i="20"/>
  <c r="D32" i="20"/>
  <c r="Q31" i="20"/>
  <c r="A31" i="20"/>
  <c r="A25" i="20"/>
  <c r="A20" i="20"/>
  <c r="A21" i="20"/>
  <c r="J21" i="20"/>
  <c r="AF21" i="20"/>
  <c r="S21" i="20"/>
  <c r="AI21" i="20"/>
  <c r="Z21" i="20"/>
  <c r="O21" i="20"/>
  <c r="F21" i="20"/>
  <c r="AH14" i="20"/>
  <c r="AE14" i="20"/>
  <c r="Z14" i="20"/>
  <c r="V14" i="20"/>
  <c r="C14" i="3"/>
  <c r="J14" i="20"/>
  <c r="B18" i="20"/>
  <c r="B17" i="20"/>
  <c r="B16" i="20"/>
  <c r="B15" i="20"/>
  <c r="A4" i="20"/>
  <c r="A11" i="20"/>
  <c r="A9" i="20"/>
  <c r="A8" i="20"/>
  <c r="A7" i="20"/>
  <c r="A6" i="20"/>
  <c r="Z6" i="20"/>
  <c r="M6" i="20"/>
  <c r="Z11" i="20"/>
  <c r="Z10" i="20"/>
  <c r="Z9" i="20"/>
  <c r="Z8" i="20"/>
  <c r="Z7" i="20"/>
  <c r="M9" i="20"/>
  <c r="M10" i="20"/>
  <c r="M8" i="20"/>
  <c r="M7" i="20"/>
  <c r="L4" i="20"/>
  <c r="A2" i="20"/>
  <c r="A1" i="20"/>
  <c r="H21" i="16"/>
  <c r="H19" i="16"/>
  <c r="H20" i="16"/>
  <c r="H18" i="16"/>
  <c r="H17" i="16"/>
  <c r="H16" i="16"/>
  <c r="H15" i="16"/>
  <c r="H14" i="16"/>
  <c r="H13" i="16"/>
  <c r="B6" i="16"/>
  <c r="A6" i="16"/>
  <c r="G6" i="16"/>
  <c r="O2" i="16"/>
  <c r="G1" i="16"/>
  <c r="A2" i="16"/>
  <c r="A1" i="16"/>
  <c r="C1" i="16"/>
  <c r="A46" i="7"/>
  <c r="A45" i="7"/>
  <c r="A43" i="7"/>
  <c r="Z5" i="7"/>
  <c r="U5" i="7"/>
  <c r="I5" i="7"/>
  <c r="D5" i="7"/>
  <c r="A5" i="7"/>
  <c r="V1" i="7"/>
  <c r="I1" i="7"/>
  <c r="V1" i="6"/>
  <c r="I1" i="6"/>
  <c r="P1" i="6"/>
  <c r="Z5" i="5"/>
  <c r="V5" i="5"/>
  <c r="R5" i="5"/>
  <c r="K5" i="5"/>
  <c r="E5" i="5"/>
  <c r="A5" i="5"/>
  <c r="V1" i="5"/>
  <c r="I1" i="5"/>
  <c r="A2" i="4"/>
  <c r="B37" i="4"/>
  <c r="A34" i="4"/>
  <c r="Y32" i="4"/>
  <c r="Y31" i="4"/>
  <c r="Y30" i="4"/>
  <c r="B32" i="4"/>
  <c r="B31" i="4"/>
  <c r="B30" i="4"/>
  <c r="A29" i="4"/>
  <c r="L29" i="4"/>
  <c r="AI29" i="4"/>
  <c r="AC13" i="4"/>
  <c r="W23" i="4"/>
  <c r="W22" i="4"/>
  <c r="Y26" i="3"/>
  <c r="Y25" i="3"/>
  <c r="O25" i="4"/>
  <c r="O23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I7" i="4"/>
  <c r="AF7" i="4"/>
  <c r="Y11" i="4"/>
  <c r="Y10" i="4"/>
  <c r="Y9" i="4"/>
  <c r="Y8" i="4"/>
  <c r="Y7" i="4"/>
  <c r="O11" i="4"/>
  <c r="O10" i="4"/>
  <c r="O8" i="4"/>
  <c r="O7" i="4"/>
  <c r="A11" i="4"/>
  <c r="A10" i="4"/>
  <c r="A8" i="4"/>
  <c r="O4" i="4"/>
  <c r="O3" i="4"/>
  <c r="A5" i="4"/>
  <c r="A4" i="4"/>
  <c r="A3" i="4"/>
  <c r="O77" i="3"/>
  <c r="C77" i="3"/>
  <c r="D70" i="3"/>
  <c r="D69" i="3"/>
  <c r="D68" i="3"/>
  <c r="D67" i="3"/>
  <c r="D66" i="3"/>
  <c r="D65" i="3"/>
  <c r="D64" i="3"/>
  <c r="D63" i="3"/>
  <c r="D62" i="3"/>
  <c r="D61" i="3"/>
  <c r="D60" i="3"/>
  <c r="D49" i="3"/>
  <c r="D50" i="3"/>
  <c r="D51" i="3"/>
  <c r="D52" i="3"/>
  <c r="D53" i="3"/>
  <c r="D54" i="3"/>
  <c r="D55" i="3"/>
  <c r="D56" i="3"/>
  <c r="D57" i="3"/>
  <c r="D48" i="3"/>
  <c r="S59" i="3"/>
  <c r="S47" i="3"/>
  <c r="F59" i="3"/>
  <c r="F47" i="3"/>
  <c r="C46" i="3"/>
  <c r="C40" i="3"/>
  <c r="C37" i="3"/>
  <c r="AA35" i="3"/>
  <c r="AA34" i="3"/>
  <c r="AA33" i="3"/>
  <c r="D35" i="3"/>
  <c r="D34" i="3"/>
  <c r="D33" i="3"/>
  <c r="C32" i="3"/>
  <c r="N32" i="3"/>
  <c r="AK32" i="3"/>
  <c r="AK10" i="3"/>
  <c r="AH10" i="3"/>
  <c r="Q28" i="3"/>
  <c r="Q26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Q21" i="3"/>
  <c r="Q16" i="3"/>
  <c r="AE16" i="3"/>
  <c r="AA14" i="3"/>
  <c r="AA13" i="3"/>
  <c r="AA12" i="3"/>
  <c r="AA11" i="3"/>
  <c r="AA10" i="3"/>
  <c r="Q14" i="3"/>
  <c r="Q13" i="3"/>
  <c r="Q11" i="3"/>
  <c r="Q10" i="3"/>
  <c r="C13" i="3"/>
  <c r="C11" i="3"/>
  <c r="AE8" i="3"/>
  <c r="AE7" i="3"/>
  <c r="AE5" i="3" l="1"/>
  <c r="P7" i="3"/>
  <c r="P6" i="3"/>
  <c r="P5" i="3"/>
  <c r="C7" i="3"/>
  <c r="C6" i="3"/>
  <c r="C5" i="3"/>
  <c r="C4" i="3"/>
  <c r="V2" i="3" l="1"/>
  <c r="V1" i="3"/>
  <c r="C2" i="3"/>
  <c r="C1" i="3"/>
  <c r="A3" i="17" l="1"/>
  <c r="K5" i="17"/>
  <c r="H5" i="17"/>
  <c r="G5" i="17"/>
  <c r="F5" i="17"/>
  <c r="E5" i="17"/>
  <c r="D5" i="17"/>
  <c r="C5" i="17"/>
  <c r="B5" i="17"/>
  <c r="A5" i="17"/>
  <c r="G1" i="17"/>
  <c r="F1" i="17"/>
  <c r="A1" i="17"/>
  <c r="G1" i="2"/>
  <c r="F1" i="2"/>
  <c r="K5" i="2"/>
  <c r="H5" i="2"/>
  <c r="G5" i="2"/>
  <c r="F5" i="2"/>
  <c r="E5" i="2"/>
  <c r="D5" i="2"/>
  <c r="C5" i="2"/>
  <c r="B5" i="2"/>
  <c r="A5" i="2"/>
  <c r="A3" i="2"/>
  <c r="A1" i="2"/>
  <c r="B80" i="1"/>
  <c r="B79" i="1"/>
  <c r="A8" i="1" l="1"/>
  <c r="A7" i="1"/>
  <c r="I43" i="1"/>
  <c r="E3" i="1"/>
  <c r="E2" i="1"/>
  <c r="C6" i="1"/>
  <c r="C3" i="1"/>
  <c r="C2" i="1"/>
  <c r="A6" i="1"/>
  <c r="A4" i="1"/>
  <c r="A3" i="1"/>
  <c r="A54" i="1" l="1"/>
  <c r="A53" i="1"/>
  <c r="A52" i="1"/>
  <c r="A51" i="1"/>
  <c r="A50" i="1"/>
  <c r="A49" i="1"/>
  <c r="A48" i="1"/>
  <c r="A47" i="1"/>
  <c r="I53" i="1"/>
  <c r="I52" i="1"/>
  <c r="I51" i="1"/>
  <c r="I50" i="1"/>
  <c r="E53" i="1"/>
  <c r="I44" i="1"/>
  <c r="H36" i="1"/>
  <c r="H35" i="1"/>
  <c r="H34" i="1"/>
  <c r="E38" i="1"/>
  <c r="E37" i="1"/>
  <c r="A29" i="1"/>
  <c r="A28" i="1"/>
  <c r="A27" i="1"/>
  <c r="A26" i="1"/>
  <c r="E20" i="1"/>
  <c r="E19" i="1"/>
  <c r="A21" i="1"/>
  <c r="A18" i="1"/>
  <c r="A17" i="1"/>
  <c r="A16" i="1"/>
  <c r="A15" i="1"/>
  <c r="A14" i="1"/>
  <c r="A13" i="1"/>
  <c r="A11" i="1"/>
  <c r="A12" i="1"/>
  <c r="P16" i="16" l="1"/>
  <c r="P15" i="16"/>
  <c r="P14" i="16"/>
  <c r="P13" i="16"/>
  <c r="Z13" i="16" s="1"/>
  <c r="Z14" i="16" l="1"/>
  <c r="E30" i="16"/>
  <c r="E26" i="16"/>
  <c r="E22" i="16"/>
  <c r="E18" i="16"/>
  <c r="E14" i="16"/>
  <c r="E10" i="16"/>
  <c r="E29" i="16"/>
  <c r="E25" i="16"/>
  <c r="E21" i="16"/>
  <c r="E17" i="16"/>
  <c r="E13" i="16"/>
  <c r="E9" i="16"/>
  <c r="E28" i="16"/>
  <c r="E24" i="16"/>
  <c r="E20" i="16"/>
  <c r="E16" i="16"/>
  <c r="E12" i="16"/>
  <c r="E8" i="16"/>
  <c r="E31" i="16"/>
  <c r="E27" i="16"/>
  <c r="E23" i="16"/>
  <c r="E19" i="16"/>
  <c r="E15" i="16"/>
  <c r="E11" i="16"/>
  <c r="E7" i="16"/>
  <c r="C31" i="16"/>
  <c r="C27" i="16"/>
  <c r="C23" i="16"/>
  <c r="C19" i="16"/>
  <c r="C15" i="16"/>
  <c r="C11" i="16"/>
  <c r="C7" i="16"/>
  <c r="C30" i="16"/>
  <c r="C26" i="16"/>
  <c r="C22" i="16"/>
  <c r="C18" i="16"/>
  <c r="C14" i="16"/>
  <c r="C10" i="16"/>
  <c r="C29" i="16"/>
  <c r="C25" i="16"/>
  <c r="C21" i="16"/>
  <c r="C17" i="16"/>
  <c r="C13" i="16"/>
  <c r="C9" i="16"/>
  <c r="C28" i="16"/>
  <c r="C24" i="16"/>
  <c r="C20" i="16"/>
  <c r="C16" i="16"/>
  <c r="C12" i="16"/>
  <c r="C8" i="16"/>
  <c r="P17" i="16"/>
  <c r="J20" i="4" l="1"/>
  <c r="Z23" i="4"/>
  <c r="Z22" i="4"/>
  <c r="U14" i="4"/>
  <c r="AI15" i="4"/>
  <c r="K30" i="4"/>
  <c r="J16" i="4"/>
  <c r="J15" i="4"/>
  <c r="AK18" i="3"/>
  <c r="M33" i="3"/>
  <c r="L23" i="3"/>
  <c r="AB26" i="3"/>
  <c r="AB25" i="3"/>
  <c r="L19" i="3"/>
  <c r="L18" i="3"/>
  <c r="U7" i="3" l="1"/>
  <c r="AM35" i="3" l="1"/>
  <c r="AF46" i="20"/>
  <c r="AF47" i="20"/>
  <c r="AF48" i="20"/>
  <c r="AF49" i="20"/>
  <c r="AF50" i="20"/>
  <c r="AF51" i="20"/>
  <c r="AF52" i="20"/>
  <c r="AF53" i="20"/>
  <c r="AF54" i="20"/>
  <c r="AF55" i="20"/>
  <c r="AF2" i="20"/>
  <c r="AF1" i="20"/>
  <c r="D2" i="20"/>
  <c r="G1" i="20"/>
  <c r="AE10" i="20"/>
  <c r="AE9" i="20"/>
  <c r="AE8" i="20"/>
  <c r="AH7" i="20"/>
  <c r="AF7" i="20"/>
  <c r="E11" i="20"/>
  <c r="E10" i="20"/>
  <c r="E9" i="20"/>
  <c r="AJ31" i="4"/>
  <c r="AJ32" i="4"/>
  <c r="AJ30" i="4"/>
  <c r="AI31" i="4"/>
  <c r="AI32" i="4"/>
  <c r="AI30" i="4"/>
  <c r="L32" i="4"/>
  <c r="M32" i="4"/>
  <c r="M31" i="4"/>
  <c r="L31" i="4"/>
  <c r="M30" i="4"/>
  <c r="L30" i="4"/>
  <c r="AF11" i="4"/>
  <c r="AJ11" i="4" s="1"/>
  <c r="AI9" i="4"/>
  <c r="AI10" i="4"/>
  <c r="AJ9" i="4"/>
  <c r="AJ10" i="4"/>
  <c r="AJ8" i="4"/>
  <c r="AI8" i="4"/>
  <c r="AI11" i="4" l="1"/>
  <c r="P34" i="3"/>
  <c r="P33" i="3"/>
  <c r="N34" i="3"/>
  <c r="N33" i="3"/>
  <c r="AK34" i="3"/>
  <c r="AM33" i="3"/>
  <c r="AK33" i="3"/>
  <c r="AK35" i="3"/>
  <c r="AH14" i="3"/>
  <c r="AL14" i="3" s="1"/>
  <c r="AH2" i="3"/>
  <c r="AH1" i="3"/>
  <c r="Y2" i="3"/>
  <c r="Y1" i="3"/>
  <c r="H2" i="3"/>
  <c r="H1" i="3"/>
  <c r="AL12" i="3"/>
  <c r="AL13" i="3"/>
  <c r="AL11" i="3"/>
  <c r="AK12" i="3"/>
  <c r="AK13" i="3"/>
  <c r="AK11" i="3"/>
  <c r="AK14" i="3" l="1"/>
  <c r="R9" i="20"/>
  <c r="R10" i="20"/>
  <c r="U7" i="20"/>
  <c r="S7" i="20"/>
  <c r="R8" i="20"/>
  <c r="E8" i="20"/>
  <c r="F15" i="20"/>
  <c r="E7" i="20"/>
  <c r="E6" i="20"/>
  <c r="F18" i="20"/>
  <c r="J18" i="20"/>
  <c r="F17" i="20"/>
  <c r="F16" i="20"/>
  <c r="J16" i="20"/>
  <c r="Z17" i="20"/>
  <c r="V17" i="20"/>
  <c r="V15" i="20"/>
  <c r="Z15" i="20"/>
  <c r="AH18" i="20"/>
  <c r="AH16" i="20"/>
  <c r="AF23" i="20"/>
  <c r="AF22" i="20"/>
  <c r="M23" i="20"/>
  <c r="O23" i="20" s="1"/>
  <c r="M22" i="20"/>
  <c r="O22" i="20" s="1"/>
  <c r="D23" i="20"/>
  <c r="H23" i="20" s="1"/>
  <c r="D24" i="20"/>
  <c r="H24" i="20" s="1"/>
  <c r="D22" i="20"/>
  <c r="F22" i="20" s="1"/>
  <c r="X23" i="20"/>
  <c r="Z23" i="20" s="1"/>
  <c r="X22" i="20"/>
  <c r="AB22" i="20" s="1"/>
  <c r="AE18" i="20"/>
  <c r="AE16" i="20"/>
  <c r="C29" i="20"/>
  <c r="E29" i="20"/>
  <c r="G29" i="20"/>
  <c r="I29" i="20"/>
  <c r="K29" i="20"/>
  <c r="M29" i="20"/>
  <c r="O29" i="20"/>
  <c r="Q29" i="20"/>
  <c r="S29" i="20"/>
  <c r="U29" i="20"/>
  <c r="W29" i="20"/>
  <c r="Y29" i="20"/>
  <c r="AA29" i="20"/>
  <c r="AC29" i="20"/>
  <c r="AE29" i="20"/>
  <c r="AG29" i="20"/>
  <c r="AI29" i="20"/>
  <c r="A29" i="20"/>
  <c r="C27" i="20"/>
  <c r="E27" i="20"/>
  <c r="G27" i="20"/>
  <c r="I27" i="20"/>
  <c r="K27" i="20"/>
  <c r="M27" i="20"/>
  <c r="O27" i="20"/>
  <c r="Q27" i="20"/>
  <c r="S27" i="20"/>
  <c r="U27" i="20"/>
  <c r="W27" i="20"/>
  <c r="Y27" i="20"/>
  <c r="AA27" i="20"/>
  <c r="AC27" i="20"/>
  <c r="AE27" i="20"/>
  <c r="AG27" i="20"/>
  <c r="AI27" i="20"/>
  <c r="A27" i="20"/>
  <c r="AJ47" i="20"/>
  <c r="AJ48" i="20"/>
  <c r="AJ49" i="20"/>
  <c r="AJ50" i="20"/>
  <c r="AJ51" i="20"/>
  <c r="AJ52" i="20"/>
  <c r="AJ53" i="20"/>
  <c r="AJ54" i="20"/>
  <c r="AJ55" i="20"/>
  <c r="AJ46" i="20"/>
  <c r="AH47" i="20"/>
  <c r="AH48" i="20"/>
  <c r="AH49" i="20"/>
  <c r="AH50" i="20"/>
  <c r="AH51" i="20"/>
  <c r="AH52" i="20"/>
  <c r="AH53" i="20"/>
  <c r="AH54" i="20"/>
  <c r="AH55" i="20"/>
  <c r="AH46" i="20"/>
  <c r="AD47" i="20"/>
  <c r="AD48" i="20"/>
  <c r="AD49" i="20"/>
  <c r="AD50" i="20"/>
  <c r="AD51" i="20"/>
  <c r="AD52" i="20"/>
  <c r="AD53" i="20"/>
  <c r="AD54" i="20"/>
  <c r="AD55" i="20"/>
  <c r="AD46" i="20"/>
  <c r="AB47" i="20"/>
  <c r="AB48" i="20"/>
  <c r="AB49" i="20"/>
  <c r="AB50" i="20"/>
  <c r="AB51" i="20"/>
  <c r="AB52" i="20"/>
  <c r="AB53" i="20"/>
  <c r="AB54" i="20"/>
  <c r="AB55" i="20"/>
  <c r="AB46" i="20"/>
  <c r="Z47" i="20"/>
  <c r="Z48" i="20"/>
  <c r="Z49" i="20"/>
  <c r="Z50" i="20"/>
  <c r="Z51" i="20"/>
  <c r="Z52" i="20"/>
  <c r="Z53" i="20"/>
  <c r="Z54" i="20"/>
  <c r="Z55" i="20"/>
  <c r="Z46" i="20"/>
  <c r="X47" i="20"/>
  <c r="X48" i="20"/>
  <c r="X49" i="20"/>
  <c r="X50" i="20"/>
  <c r="X51" i="20"/>
  <c r="X52" i="20"/>
  <c r="X53" i="20"/>
  <c r="X54" i="20"/>
  <c r="X55" i="20"/>
  <c r="X46" i="20"/>
  <c r="AK23" i="20" l="1"/>
  <c r="AI23" i="20"/>
  <c r="AK22" i="20"/>
  <c r="AI22" i="20"/>
  <c r="F24" i="20"/>
  <c r="Q22" i="20"/>
  <c r="Q23" i="20"/>
  <c r="Z22" i="20"/>
  <c r="AB23" i="20"/>
  <c r="F23" i="20"/>
  <c r="H22" i="20"/>
  <c r="V47" i="20"/>
  <c r="V48" i="20"/>
  <c r="V49" i="20"/>
  <c r="V50" i="20"/>
  <c r="V51" i="20"/>
  <c r="V52" i="20"/>
  <c r="V53" i="20"/>
  <c r="V54" i="20"/>
  <c r="V55" i="20"/>
  <c r="V46" i="20"/>
  <c r="T47" i="20"/>
  <c r="T48" i="20"/>
  <c r="T49" i="20"/>
  <c r="T50" i="20"/>
  <c r="T51" i="20"/>
  <c r="T52" i="20"/>
  <c r="T53" i="20"/>
  <c r="T54" i="20"/>
  <c r="T55" i="20"/>
  <c r="T46" i="20"/>
  <c r="R55" i="20"/>
  <c r="R47" i="20"/>
  <c r="R48" i="20"/>
  <c r="R49" i="20"/>
  <c r="R50" i="20"/>
  <c r="R51" i="20"/>
  <c r="R52" i="20"/>
  <c r="R53" i="20"/>
  <c r="R54" i="20"/>
  <c r="R46" i="20"/>
  <c r="P47" i="20"/>
  <c r="P48" i="20"/>
  <c r="P49" i="20"/>
  <c r="P50" i="20"/>
  <c r="P51" i="20"/>
  <c r="P52" i="20"/>
  <c r="P53" i="20"/>
  <c r="P54" i="20"/>
  <c r="P55" i="20"/>
  <c r="P46" i="20"/>
  <c r="N47" i="20"/>
  <c r="N48" i="20"/>
  <c r="N49" i="20"/>
  <c r="N50" i="20"/>
  <c r="N51" i="20"/>
  <c r="N52" i="20"/>
  <c r="N53" i="20"/>
  <c r="N54" i="20"/>
  <c r="N55" i="20"/>
  <c r="N46" i="20"/>
  <c r="AJ34" i="20"/>
  <c r="AJ35" i="20"/>
  <c r="AJ36" i="20"/>
  <c r="AJ37" i="20"/>
  <c r="AJ38" i="20"/>
  <c r="AJ39" i="20"/>
  <c r="AJ40" i="20"/>
  <c r="AJ41" i="20"/>
  <c r="AJ42" i="20"/>
  <c r="AJ33" i="20"/>
  <c r="AH34" i="20"/>
  <c r="AH35" i="20"/>
  <c r="AH36" i="20"/>
  <c r="AH37" i="20"/>
  <c r="AH38" i="20"/>
  <c r="AH39" i="20"/>
  <c r="AH40" i="20"/>
  <c r="AH41" i="20"/>
  <c r="AH42" i="20"/>
  <c r="AH33" i="20"/>
  <c r="AF34" i="20"/>
  <c r="AF35" i="20"/>
  <c r="AF36" i="20"/>
  <c r="AF37" i="20"/>
  <c r="AF38" i="20"/>
  <c r="AF39" i="20"/>
  <c r="AF40" i="20"/>
  <c r="AF41" i="20"/>
  <c r="AF42" i="20"/>
  <c r="AF33" i="20"/>
  <c r="AD34" i="20"/>
  <c r="AD35" i="20"/>
  <c r="AD36" i="20"/>
  <c r="AD37" i="20"/>
  <c r="AD38" i="20"/>
  <c r="AD39" i="20"/>
  <c r="AD40" i="20"/>
  <c r="AD41" i="20"/>
  <c r="AD42" i="20"/>
  <c r="AD33" i="20"/>
  <c r="AB34" i="20"/>
  <c r="AB35" i="20"/>
  <c r="AB36" i="20"/>
  <c r="AB37" i="20"/>
  <c r="AB38" i="20"/>
  <c r="AB39" i="20"/>
  <c r="AB40" i="20"/>
  <c r="AB41" i="20"/>
  <c r="AB42" i="20"/>
  <c r="AB33" i="20"/>
  <c r="Z34" i="20"/>
  <c r="Z35" i="20"/>
  <c r="Z36" i="20"/>
  <c r="Z37" i="20"/>
  <c r="Z38" i="20"/>
  <c r="Z39" i="20"/>
  <c r="Z40" i="20"/>
  <c r="Z41" i="20"/>
  <c r="Z42" i="20"/>
  <c r="Z33" i="20"/>
  <c r="X34" i="20" l="1"/>
  <c r="X35" i="20"/>
  <c r="X36" i="20"/>
  <c r="X37" i="20"/>
  <c r="X38" i="20"/>
  <c r="X39" i="20"/>
  <c r="X40" i="20"/>
  <c r="X41" i="20"/>
  <c r="X42" i="20"/>
  <c r="X33" i="20"/>
  <c r="V34" i="20"/>
  <c r="V35" i="20"/>
  <c r="V36" i="20"/>
  <c r="V37" i="20"/>
  <c r="V38" i="20"/>
  <c r="V39" i="20"/>
  <c r="V40" i="20"/>
  <c r="V41" i="20"/>
  <c r="V42" i="20"/>
  <c r="V33" i="20"/>
  <c r="T34" i="20"/>
  <c r="T35" i="20"/>
  <c r="T36" i="20"/>
  <c r="T37" i="20"/>
  <c r="T38" i="20"/>
  <c r="T39" i="20"/>
  <c r="T40" i="20"/>
  <c r="T41" i="20"/>
  <c r="T42" i="20"/>
  <c r="T33" i="20"/>
  <c r="R34" i="20"/>
  <c r="R35" i="20"/>
  <c r="R36" i="20"/>
  <c r="R37" i="20"/>
  <c r="R38" i="20"/>
  <c r="R39" i="20"/>
  <c r="R40" i="20"/>
  <c r="R41" i="20"/>
  <c r="R42" i="20"/>
  <c r="R33" i="20"/>
  <c r="P34" i="20"/>
  <c r="P35" i="20"/>
  <c r="P36" i="20"/>
  <c r="P37" i="20"/>
  <c r="P38" i="20"/>
  <c r="P39" i="20"/>
  <c r="P40" i="20"/>
  <c r="P41" i="20"/>
  <c r="P42" i="20"/>
  <c r="P33" i="20"/>
  <c r="N34" i="20"/>
  <c r="N35" i="20"/>
  <c r="N36" i="20"/>
  <c r="N37" i="20"/>
  <c r="N38" i="20"/>
  <c r="N39" i="20"/>
  <c r="N40" i="20"/>
  <c r="N41" i="20"/>
  <c r="N42" i="20"/>
  <c r="N33" i="20"/>
  <c r="G2" i="10" l="1"/>
  <c r="I11" i="3" l="1"/>
  <c r="J15" i="20" s="1"/>
  <c r="D46" i="20"/>
  <c r="J46" i="20"/>
  <c r="D47" i="20"/>
  <c r="J47" i="20"/>
  <c r="D48" i="20"/>
  <c r="J48" i="20"/>
  <c r="D49" i="20"/>
  <c r="J49" i="20"/>
  <c r="D50" i="20"/>
  <c r="J50" i="20"/>
  <c r="D51" i="20"/>
  <c r="J51" i="20"/>
  <c r="D52" i="20"/>
  <c r="J52" i="20"/>
  <c r="D53" i="20"/>
  <c r="J53" i="20"/>
  <c r="D54" i="20"/>
  <c r="J54" i="20"/>
  <c r="D55" i="20"/>
  <c r="J55" i="20"/>
  <c r="J33" i="20"/>
  <c r="J34" i="20"/>
  <c r="J35" i="20"/>
  <c r="J36" i="20"/>
  <c r="J37" i="20"/>
  <c r="J38" i="20"/>
  <c r="J39" i="20"/>
  <c r="J40" i="20"/>
  <c r="J41" i="20"/>
  <c r="D34" i="20" l="1"/>
  <c r="D35" i="20"/>
  <c r="D36" i="20"/>
  <c r="D37" i="20"/>
  <c r="D38" i="20"/>
  <c r="D39" i="20"/>
  <c r="D40" i="20"/>
  <c r="D41" i="20"/>
  <c r="D42" i="20"/>
  <c r="J42" i="20"/>
  <c r="G47" i="10"/>
  <c r="D33" i="20" l="1"/>
  <c r="S77" i="3"/>
  <c r="I3" i="1" l="1"/>
  <c r="U69" i="20" l="1"/>
  <c r="Q69" i="20"/>
  <c r="BD4" i="20" l="1"/>
  <c r="F47" i="10"/>
  <c r="E2" i="10"/>
  <c r="B2" i="10"/>
  <c r="E1" i="10"/>
  <c r="B1" i="10"/>
  <c r="U2" i="16"/>
  <c r="M2" i="16"/>
  <c r="C2" i="16"/>
  <c r="M1" i="16"/>
  <c r="AF1" i="7"/>
  <c r="P1" i="7"/>
  <c r="D1" i="7"/>
  <c r="AF1" i="6"/>
  <c r="D1" i="6"/>
  <c r="AF1" i="5"/>
  <c r="P1" i="5"/>
  <c r="E1" i="5"/>
  <c r="AS12" i="3" l="1"/>
  <c r="BA5" i="3"/>
  <c r="D30" i="16" l="1"/>
  <c r="D9" i="16" l="1"/>
  <c r="D16" i="16"/>
  <c r="D18" i="16"/>
  <c r="D8" i="16"/>
  <c r="D20" i="16"/>
  <c r="D21" i="16"/>
  <c r="D24" i="16"/>
  <c r="D23" i="16"/>
  <c r="D13" i="16"/>
  <c r="D17" i="16"/>
  <c r="D28" i="16"/>
  <c r="D22" i="16"/>
  <c r="D11" i="16"/>
  <c r="D27" i="16"/>
  <c r="D14" i="16"/>
  <c r="D25" i="16"/>
  <c r="D7" i="16"/>
  <c r="D26" i="16"/>
  <c r="D12" i="16"/>
  <c r="D19" i="16"/>
  <c r="D31" i="16"/>
  <c r="D15" i="16"/>
  <c r="D29" i="16"/>
  <c r="D10" i="16"/>
  <c r="P19" i="16"/>
  <c r="AL7" i="16"/>
  <c r="F18" i="16" s="1"/>
  <c r="P18" i="16"/>
  <c r="P20" i="16"/>
  <c r="P21" i="16" l="1"/>
  <c r="F19" i="16"/>
  <c r="F1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Jankovic, Djordje</author>
  </authors>
  <commentList>
    <comment ref="F7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
only for 1st sampling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Jankovic, Djordje</author>
    <author>116admin</author>
  </authors>
  <commentList>
    <comment ref="V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date/name</t>
        </r>
      </text>
    </comment>
    <comment ref="AA1" authorId="1" shapeId="0" xr:uid="{00000000-0006-0000-0600-000002000000}">
      <text>
        <r>
          <rPr>
            <b/>
            <sz val="8"/>
            <color indexed="81"/>
            <rFont val="Tahoma"/>
            <family val="2"/>
          </rPr>
          <t>Datum der Füllreihe mit Ctrl+. eintragen
nur bei neuer Füllstudie aktuelles Datum eintragen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Jankovic, Djordje</author>
  </authors>
  <commentList>
    <comment ref="V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date/name</t>
        </r>
      </text>
    </comment>
    <comment ref="A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trial number</t>
        </r>
      </text>
    </comment>
    <comment ref="D5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holding pressure</t>
        </r>
      </text>
    </comment>
    <comment ref="I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holding pressure time</t>
        </r>
      </text>
    </comment>
    <comment ref="P5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shot weight without sprue</t>
        </r>
      </text>
    </comment>
    <comment ref="U5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cooling time</t>
        </r>
      </text>
    </comment>
    <comment ref="Z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remarks</t>
        </r>
      </text>
    </comment>
    <comment ref="A43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result of the gate sealing point analysis</t>
        </r>
      </text>
    </comment>
    <comment ref="A4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specific holding pressure</t>
        </r>
      </text>
    </comment>
    <comment ref="A46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holding pressure in seconds</t>
        </r>
      </text>
    </comment>
  </commentList>
</comments>
</file>

<file path=xl/sharedStrings.xml><?xml version="1.0" encoding="utf-8"?>
<sst xmlns="http://schemas.openxmlformats.org/spreadsheetml/2006/main" count="813" uniqueCount="159">
  <si>
    <t>Index</t>
  </si>
  <si>
    <t>Material</t>
  </si>
  <si>
    <t>V1 / U1</t>
  </si>
  <si>
    <t>V2 / U2</t>
  </si>
  <si>
    <t>V3 / U3</t>
  </si>
  <si>
    <t>V4 / U4</t>
  </si>
  <si>
    <t>V5 / U5</t>
  </si>
  <si>
    <t>V6 / U6</t>
  </si>
  <si>
    <t>V7 / U7</t>
  </si>
  <si>
    <t>V8 / U8</t>
  </si>
  <si>
    <t>V9 / U9</t>
  </si>
  <si>
    <t>V10 / U10</t>
  </si>
  <si>
    <t>Zone1</t>
  </si>
  <si>
    <t>Zone5</t>
  </si>
  <si>
    <t>Zone4</t>
  </si>
  <si>
    <t>Zone3</t>
  </si>
  <si>
    <t>Zone2</t>
  </si>
  <si>
    <t>Zone7</t>
  </si>
  <si>
    <t>Zone6</t>
  </si>
  <si>
    <t>Zone8</t>
  </si>
  <si>
    <t>Zone9</t>
  </si>
  <si>
    <t>Zone10</t>
  </si>
  <si>
    <t>Color exact</t>
  </si>
  <si>
    <t>Zone11</t>
  </si>
  <si>
    <t>Zone12</t>
  </si>
  <si>
    <t>Zone13</t>
  </si>
  <si>
    <t>Visum:</t>
  </si>
  <si>
    <t>Werkzeugart</t>
  </si>
  <si>
    <t>Aggregat</t>
  </si>
  <si>
    <t>Handling</t>
  </si>
  <si>
    <t>Trav.</t>
  </si>
  <si>
    <t>* Zykluszeit</t>
  </si>
  <si>
    <t>Maguire</t>
  </si>
  <si>
    <t>Moretto/digicolor</t>
  </si>
  <si>
    <t>Moretto</t>
  </si>
  <si>
    <t>Düse</t>
  </si>
  <si>
    <t>Einfärbgerät</t>
  </si>
  <si>
    <t>Lage Aggregat</t>
  </si>
  <si>
    <t>Radius 35mm</t>
  </si>
  <si>
    <t>Koch</t>
  </si>
  <si>
    <t>Hydracolor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</si>
  <si>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</si>
  <si>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</si>
  <si>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</si>
  <si>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</si>
  <si>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</si>
  <si>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</si>
  <si>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</si>
  <si>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</si>
  <si>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</si>
  <si>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</si>
  <si>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V1/S1/P1</t>
  </si>
  <si>
    <t>V2/S2/P2</t>
  </si>
  <si>
    <t>V1/S1/P3</t>
  </si>
  <si>
    <t>Schussgewicht</t>
  </si>
  <si>
    <t>Zone14</t>
  </si>
  <si>
    <t>Zone15</t>
  </si>
  <si>
    <t>Zone16</t>
  </si>
  <si>
    <t>Zone17</t>
  </si>
  <si>
    <t>Zone18</t>
  </si>
  <si>
    <t>Zone19</t>
  </si>
  <si>
    <t>Zone20</t>
  </si>
  <si>
    <t>Zone21</t>
  </si>
  <si>
    <t>Zone22</t>
  </si>
  <si>
    <t>Zone23</t>
  </si>
  <si>
    <t>Zone24</t>
  </si>
  <si>
    <t>Zone25</t>
  </si>
  <si>
    <t>Zone26</t>
  </si>
  <si>
    <t>Zone27</t>
  </si>
  <si>
    <t>Zone28</t>
  </si>
  <si>
    <t>Zone29</t>
  </si>
  <si>
    <t>Zone30</t>
  </si>
  <si>
    <t>Zone31</t>
  </si>
  <si>
    <t>Zone32</t>
  </si>
  <si>
    <t>Zone33</t>
  </si>
  <si>
    <t>Zone34</t>
  </si>
  <si>
    <t>Zone35</t>
  </si>
  <si>
    <t>Zone36</t>
  </si>
  <si>
    <t>Ø</t>
  </si>
  <si>
    <t>Dosierverzögerung</t>
  </si>
  <si>
    <t xml:space="preserve">* Dosierzeit </t>
  </si>
  <si>
    <t>mm</t>
  </si>
  <si>
    <t>Einspritzen</t>
  </si>
  <si>
    <t>mm/s</t>
  </si>
  <si>
    <t>ccm</t>
  </si>
  <si>
    <t>ccm/s</t>
  </si>
  <si>
    <t>%</t>
  </si>
  <si>
    <t>Dosiereinheiten</t>
  </si>
  <si>
    <t>u/min</t>
  </si>
  <si>
    <t>m/min</t>
  </si>
  <si>
    <t>Umschaltgewicht/Schuss</t>
  </si>
  <si>
    <t>Amboss &amp; Langbein</t>
  </si>
  <si>
    <t>Laufnummer</t>
  </si>
  <si>
    <t>Inhalt</t>
  </si>
  <si>
    <t>Kurzzeit-Prozessfreigabe-Entscheid</t>
  </si>
  <si>
    <t>Geschwindigkeit</t>
  </si>
  <si>
    <t>Weg</t>
  </si>
  <si>
    <t>Name</t>
  </si>
  <si>
    <t>Ø eintragen</t>
  </si>
  <si>
    <t>Schneckendurchmesser</t>
  </si>
  <si>
    <t>Piovan</t>
  </si>
  <si>
    <t>VL</t>
  </si>
  <si>
    <t>RL</t>
  </si>
  <si>
    <t>-</t>
  </si>
  <si>
    <t></t>
  </si>
  <si>
    <t>/</t>
  </si>
  <si>
    <t>M</t>
  </si>
  <si>
    <t>UTG</t>
  </si>
  <si>
    <t>OTG</t>
  </si>
  <si>
    <t>Anzhal Kernzüge</t>
  </si>
  <si>
    <t xml:space="preserve">* Einspritzzeit </t>
  </si>
  <si>
    <t>Dateibenennung:</t>
  </si>
  <si>
    <t>Dateibenennung</t>
  </si>
  <si>
    <t>G3 und I3 Schrift schwarz einfärben</t>
  </si>
  <si>
    <t>SAP Nr.</t>
  </si>
  <si>
    <t>Erstellt am:</t>
  </si>
  <si>
    <t>2. Komponente Düseninformationen</t>
  </si>
  <si>
    <t>Materialtabelle gem. Ronny</t>
  </si>
  <si>
    <t>5% Toleranz</t>
  </si>
  <si>
    <t>zusätzliche Brücken</t>
  </si>
  <si>
    <t>30°C Toleranz</t>
  </si>
  <si>
    <t>Maschinentyp entfernen dafür Maschinennummer hinzufügen</t>
  </si>
  <si>
    <t>WE Nr. zum Werkzeug</t>
  </si>
  <si>
    <t>conditional formatting if blank dann alles weiss (bei allen leeren Feldern in diesem Dokument)</t>
  </si>
  <si>
    <t>neuer Speichername</t>
  </si>
  <si>
    <t>Temp. [°C] +/- 30°C</t>
  </si>
  <si>
    <t>Alle rot markierten Angaben entfernen</t>
  </si>
  <si>
    <t>Material Nr.</t>
  </si>
  <si>
    <t>Infos</t>
  </si>
  <si>
    <t>Wahl2</t>
  </si>
  <si>
    <t>Dekompression</t>
  </si>
  <si>
    <t xml:space="preserve">Temp. [°C] </t>
  </si>
  <si>
    <t>Dosieren</t>
  </si>
  <si>
    <r>
      <t>1</t>
    </r>
    <r>
      <rPr>
        <sz val="11"/>
        <color theme="0"/>
        <rFont val="Arial"/>
        <family val="2"/>
      </rPr>
      <t>→</t>
    </r>
    <r>
      <rPr>
        <sz val="10"/>
        <color theme="0"/>
        <rFont val="Arial"/>
        <family val="2"/>
      </rPr>
      <t>2</t>
    </r>
  </si>
  <si>
    <r>
      <t>2</t>
    </r>
    <r>
      <rPr>
        <sz val="12"/>
        <color theme="0"/>
        <rFont val="Arial"/>
        <family val="2"/>
      </rPr>
      <t>→</t>
    </r>
    <r>
      <rPr>
        <sz val="10"/>
        <color theme="0"/>
        <rFont val="Arial"/>
        <family val="2"/>
      </rPr>
      <t>1</t>
    </r>
  </si>
  <si>
    <t>Sprache Language</t>
  </si>
  <si>
    <t>English</t>
  </si>
  <si>
    <t>Deutsch</t>
  </si>
  <si>
    <t>Themenbezeichnung / topic description</t>
  </si>
  <si>
    <t>m/s</t>
  </si>
  <si>
    <t>medmix ID</t>
  </si>
  <si>
    <t>medmix ID:</t>
  </si>
  <si>
    <t>medmixID#index#WeNr#Maschine#zyld.#je nach abteilung</t>
  </si>
  <si>
    <t>Info</t>
  </si>
  <si>
    <t>n.a</t>
  </si>
  <si>
    <t>JA</t>
  </si>
  <si>
    <t>NEIN</t>
  </si>
  <si>
    <t>DEUTSCH</t>
  </si>
  <si>
    <t>ENGLISH</t>
  </si>
  <si>
    <t>YES</t>
  </si>
  <si>
    <t>NO</t>
  </si>
  <si>
    <t>Wittmann</t>
  </si>
  <si>
    <t>zentrisch</t>
  </si>
  <si>
    <t>Angusspicker</t>
  </si>
  <si>
    <t>nach</t>
  </si>
  <si>
    <t>anliegend</t>
  </si>
  <si>
    <t>Filterdüse verwenden.</t>
  </si>
  <si>
    <t>Filterdüse 0.2mm</t>
  </si>
  <si>
    <t>keine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</si>
</sst>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9">
    <numFmt numFmtId="164" formatCode="0&quot;ccm&quot;"/>
    <numFmt numFmtId="165" formatCode="0.00\ &quot;s&quot;"/>
    <numFmt numFmtId="166" formatCode="0\ \ &quot;bar&quot;"/>
    <numFmt numFmtId="167" formatCode="0\ \ &quot;mm&quot;"/>
    <numFmt numFmtId="168" formatCode="0.0&quot;ccm&quot;"/>
    <numFmt numFmtId="169" formatCode="0\ \ &quot;°C&quot;"/>
    <numFmt numFmtId="170" formatCode="0.0\ \ &quot;ccm/s&quot;"/>
    <numFmt numFmtId="171" formatCode="0.00\ &quot;g&quot;"/>
    <numFmt numFmtId="172" formatCode="0.000\ &quot;g&quot;"/>
    <numFmt numFmtId="173" formatCode="0.0\ \ &quot;ccm&quot;"/>
    <numFmt numFmtId="174" formatCode="0.0\ "/>
    <numFmt numFmtId="175" formatCode="\ &quot;/ &quot;\ 0.0"/>
    <numFmt numFmtId="176" formatCode="\ \ \ 0\ \ &quot;°C&quot;"/>
    <numFmt numFmtId="177" formatCode="\ &quot;bis &quot;\ 0.00"/>
    <numFmt numFmtId="178" formatCode="0\ \ &quot;U/min&quot;"/>
    <numFmt numFmtId="179" formatCode="0.0\ &quot;sek&quot;"/>
    <numFmt numFmtId="180" formatCode="dd/mm/yy"/>
    <numFmt numFmtId="181" formatCode="d/m/yy"/>
    <numFmt numFmtId="182" formatCode="0.0\ \ &quot;h &quot;"/>
    <numFmt numFmtId="183" formatCode="0.\ \ &quot;Fach&quot;"/>
    <numFmt numFmtId="184" formatCode="\Ø\ 00\ &quot;mm&quot;"/>
    <numFmt numFmtId="185" formatCode="\ \ 0\ \ &quot;mm&quot;"/>
    <numFmt numFmtId="186" formatCode="0.00\ \ &quot;ccm&quot;"/>
    <numFmt numFmtId="187" formatCode="0.00\ \ &quot;ccm/s&quot;"/>
    <numFmt numFmtId="188" formatCode="0.0\ \ &quot;s&quot;"/>
    <numFmt numFmtId="189" formatCode="0.00\ \ &quot;s&quot;"/>
    <numFmt numFmtId="190" formatCode="\Ø\ \ 0.0\ &quot;mm&quot;"/>
    <numFmt numFmtId="191" formatCode="\ 0.0&quot;mm&quot;"/>
    <numFmt numFmtId="192" formatCode="0.0\ &quot;%&quot;"/>
    <numFmt numFmtId="193" formatCode="0.0"/>
    <numFmt numFmtId="194" formatCode="&quot;/  &quot;\ 0"/>
    <numFmt numFmtId="195" formatCode="0.0\ \ \ \ &quot;ccm&quot;"/>
    <numFmt numFmtId="196" formatCode="0.0\ \ \ \ &quot;g&quot;"/>
    <numFmt numFmtId="197" formatCode="0.000"/>
    <numFmt numFmtId="198" formatCode="0\ \ &quot;kN&quot;"/>
    <numFmt numFmtId="199" formatCode="\ &quot;bis&quot;\ 0.00"/>
    <numFmt numFmtId="200" formatCode="0.0\ &quot;ccm&quot;"/>
    <numFmt numFmtId="201" formatCode="0.00\ &quot;ccm&quot;"/>
    <numFmt numFmtId="202" formatCode="0\ &quot;bar&quot;"/>
    <numFmt numFmtId="203" formatCode="0.00&quot;g&quot;"/>
    <numFmt numFmtId="204" formatCode="&quot;bis&quot;\ 0.00"/>
    <numFmt numFmtId="205" formatCode="\ &quot;bis &quot;0.00"/>
    <numFmt numFmtId="206" formatCode="0&quot;mm&quot;"/>
    <numFmt numFmtId="207" formatCode="&quot;E&quot;0"/>
    <numFmt numFmtId="208" formatCode="&quot;A&quot;0"/>
    <numFmt numFmtId="209" formatCode="0\ &quot;s&quot;"/>
    <numFmt numFmtId="210" formatCode="0.000%"/>
    <numFmt numFmtId="211" formatCode="dd\-mmm\-yyyy"/>
    <numFmt numFmtId="212" formatCode="00"/>
  </numFmts>
  <fonts count="67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i/>
      <sz val="2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u/>
      <sz val="12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name val="Arial"/>
      <family val="2"/>
    </font>
    <font>
      <sz val="26"/>
      <name val="Arial"/>
      <family val="2"/>
    </font>
    <font>
      <b/>
      <sz val="8"/>
      <color indexed="81"/>
      <name val="Tahoma"/>
      <family val="2"/>
    </font>
    <font>
      <b/>
      <sz val="14"/>
      <color indexed="10"/>
      <name val="Arial"/>
      <family val="2"/>
    </font>
    <font>
      <sz val="18"/>
      <name val="Wingdings 3"/>
      <family val="1"/>
      <charset val="2"/>
    </font>
    <font>
      <b/>
      <sz val="11"/>
      <name val="Arial"/>
      <family val="2"/>
    </font>
    <font>
      <sz val="11"/>
      <name val="Symbol"/>
      <family val="1"/>
      <charset val="2"/>
    </font>
    <font>
      <sz val="16"/>
      <name val="Arial"/>
      <family val="2"/>
    </font>
    <font>
      <sz val="24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sz val="11"/>
      <name val="Arial"/>
      <family val="2"/>
    </font>
    <font>
      <b/>
      <sz val="10"/>
      <color rgb="FFFF0000"/>
      <name val="Arial"/>
      <family val="2"/>
    </font>
    <font>
      <sz val="8"/>
      <color rgb="FF000000"/>
      <name val="Tahoma"/>
      <family val="2"/>
    </font>
    <font>
      <sz val="12"/>
      <color theme="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0"/>
      <color theme="0"/>
      <name val="Arial"/>
      <family val="2"/>
    </font>
    <font>
      <u/>
      <sz val="9"/>
      <name val="Arial"/>
      <family val="2"/>
    </font>
    <font>
      <b/>
      <sz val="14"/>
      <color rgb="FF000000"/>
      <name val="Arial"/>
      <family val="2"/>
    </font>
    <font>
      <b/>
      <sz val="11"/>
      <color rgb="FF00B050"/>
      <name val="Arial"/>
      <family val="2"/>
    </font>
    <font>
      <b/>
      <u/>
      <sz val="8"/>
      <name val="Arial"/>
      <family val="2"/>
    </font>
    <font>
      <b/>
      <i/>
      <u/>
      <sz val="9"/>
      <name val="Arial"/>
      <family val="2"/>
    </font>
    <font>
      <b/>
      <u/>
      <sz val="10"/>
      <name val="Arial"/>
      <family val="2"/>
    </font>
    <font>
      <b/>
      <u/>
      <sz val="7"/>
      <name val="Arial"/>
      <family val="2"/>
    </font>
    <font>
      <sz val="9"/>
      <color rgb="FFFF0000"/>
      <name val="Arial"/>
      <family val="2"/>
    </font>
    <font>
      <sz val="8"/>
      <color rgb="FFFF0000"/>
      <name val="Arial"/>
      <family val="2"/>
    </font>
    <font>
      <b/>
      <i/>
      <u/>
      <sz val="10"/>
      <name val="Arial"/>
      <family val="2"/>
    </font>
    <font>
      <b/>
      <sz val="18"/>
      <color rgb="FF000000"/>
      <name val="Arial"/>
      <family val="2"/>
    </font>
    <font>
      <b/>
      <sz val="16"/>
      <color theme="0"/>
      <name val="Arial"/>
      <family val="2"/>
    </font>
    <font>
      <b/>
      <u/>
      <sz val="9"/>
      <name val="Arial"/>
      <family val="2"/>
    </font>
    <font>
      <b/>
      <sz val="16"/>
      <color rgb="FFFF000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8"/>
      <color theme="0"/>
      <name val="Arial"/>
      <family val="2"/>
    </font>
    <font>
      <sz val="11"/>
      <color theme="0"/>
      <name val="Arial"/>
      <family val="2"/>
    </font>
    <font>
      <b/>
      <i/>
      <sz val="1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0"/>
      <name val="Arial"/>
      <family val="2"/>
    </font>
    <font>
      <b/>
      <sz val="22"/>
      <color rgb="FF0070C0"/>
      <name val="Arial"/>
      <family val="2"/>
    </font>
    <font>
      <sz val="18"/>
      <color theme="0"/>
      <name val="Arial"/>
      <family val="2"/>
    </font>
    <font>
      <sz val="22"/>
      <name val="Arial"/>
      <family val="2"/>
    </font>
    <font>
      <sz val="10"/>
      <color rgb="FFFF0000"/>
      <name val="Arial"/>
      <family val="2"/>
    </font>
    <font>
      <sz val="12"/>
      <color rgb="FFFF0000"/>
      <name val="Arial"/>
      <family val="2"/>
    </font>
    <font>
      <sz val="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3D3D3"/>
        <bgColor indexed="64"/>
      </patternFill>
    </fill>
  </fills>
  <borders count="18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hair">
        <color indexed="64"/>
      </top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dotted">
        <color indexed="64"/>
      </right>
      <top/>
      <bottom style="dashed">
        <color indexed="64"/>
      </bottom>
      <diagonal/>
    </border>
    <border>
      <left/>
      <right/>
      <top style="hair">
        <color indexed="64"/>
      </top>
      <bottom style="dash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>
      <left/>
      <right/>
      <top style="thick">
        <color indexed="64"/>
      </top>
      <bottom style="thick">
        <color indexed="64"/>
      </bottom>
      <diagonal style="medium">
        <color indexed="64"/>
      </diagonal>
    </border>
    <border diagonalUp="1">
      <left/>
      <right/>
      <top style="thick">
        <color indexed="64"/>
      </top>
      <bottom style="thick">
        <color indexed="64"/>
      </bottom>
      <diagonal style="thick">
        <color indexed="64"/>
      </diagonal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dashed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ashDot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/>
      <top style="medium">
        <color indexed="64"/>
      </top>
      <bottom style="dotted">
        <color auto="1"/>
      </bottom>
      <diagonal/>
    </border>
    <border>
      <left/>
      <right style="hair">
        <color indexed="64"/>
      </right>
      <top/>
      <bottom style="dashed">
        <color indexed="64"/>
      </bottom>
      <diagonal/>
    </border>
    <border>
      <left/>
      <right style="hair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/>
      <bottom/>
      <diagonal/>
    </border>
    <border>
      <left style="dotted">
        <color indexed="64"/>
      </left>
      <right/>
      <top/>
      <bottom style="dashed">
        <color indexed="64"/>
      </bottom>
      <diagonal/>
    </border>
    <border>
      <left style="dott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tt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ashed">
        <color indexed="64"/>
      </bottom>
      <diagonal/>
    </border>
    <border>
      <left/>
      <right style="dotted">
        <color indexed="64"/>
      </right>
      <top style="dotted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hair">
        <color indexed="64"/>
      </left>
      <right/>
      <top style="medium">
        <color indexed="64"/>
      </top>
      <bottom style="dotted">
        <color auto="1"/>
      </bottom>
      <diagonal/>
    </border>
    <border>
      <left/>
      <right style="hair">
        <color indexed="64"/>
      </right>
      <top style="medium">
        <color indexed="64"/>
      </top>
      <bottom style="dotted">
        <color auto="1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/>
      <top/>
      <bottom style="dotted">
        <color indexed="64"/>
      </bottom>
      <diagonal/>
    </border>
    <border>
      <left/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/>
      <top/>
      <bottom style="dashed">
        <color indexed="64"/>
      </bottom>
      <diagonal/>
    </border>
    <border>
      <left/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dashed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 style="hair">
        <color indexed="64"/>
      </left>
      <right/>
      <top style="dashed">
        <color indexed="64"/>
      </top>
      <bottom style="dotted">
        <color indexed="64"/>
      </bottom>
      <diagonal/>
    </border>
    <border>
      <left/>
      <right style="hair">
        <color indexed="64"/>
      </right>
      <top style="dashed">
        <color indexed="64"/>
      </top>
      <bottom style="dotted">
        <color indexed="64"/>
      </bottom>
      <diagonal/>
    </border>
    <border>
      <left style="hair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 style="hair">
        <color indexed="64"/>
      </bottom>
      <diagonal/>
    </border>
    <border>
      <left/>
      <right/>
      <top style="dashed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dashed">
        <color indexed="64"/>
      </left>
      <right/>
      <top/>
      <bottom style="dott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otted">
        <color indexed="64"/>
      </top>
      <bottom style="dashed">
        <color indexed="64"/>
      </bottom>
      <diagonal/>
    </border>
    <border>
      <left style="dashed">
        <color indexed="64"/>
      </left>
      <right/>
      <top style="dotted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 style="dash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auto="1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dashed">
        <color indexed="64"/>
      </right>
      <top style="dotted">
        <color indexed="64"/>
      </top>
      <bottom style="dotted">
        <color indexed="64"/>
      </bottom>
      <diagonal/>
    </border>
    <border>
      <left/>
      <right style="dashed">
        <color indexed="64"/>
      </right>
      <top/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 diagonalDown="1">
      <left style="thin">
        <color indexed="64"/>
      </left>
      <right/>
      <top style="medium">
        <color indexed="64"/>
      </top>
      <bottom style="medium">
        <color indexed="64"/>
      </bottom>
      <diagonal style="thin">
        <color indexed="64"/>
      </diagonal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</borders>
  <cellStyleXfs count="4">
    <xf numFmtId="0" fontId="0" fillId="0" borderId="0"/>
    <xf numFmtId="0" fontId="12" fillId="0" borderId="1"/>
    <xf numFmtId="0" fontId="2" fillId="2" borderId="2"/>
    <xf numFmtId="0" fontId="16" fillId="0" borderId="0"/>
  </cellStyleXfs>
  <cellXfs count="937">
    <xf numFmtId="0" fontId="0" fillId="0" borderId="0" xfId="0"/>
    <xf numFmtId="168" fontId="0" fillId="0" borderId="0" xfId="0" applyNumberFormat="1"/>
    <xf numFmtId="169" fontId="0" fillId="0" borderId="5" xfId="0" applyNumberFormat="1" applyBorder="1"/>
    <xf numFmtId="0" fontId="8" fillId="0" borderId="0" xfId="0" applyFont="1" applyAlignment="1" applyProtection="1">
      <alignment horizontal="center"/>
      <protection hidden="1"/>
    </xf>
    <xf numFmtId="0" fontId="8" fillId="0" borderId="0" xfId="0" applyFont="1" applyProtection="1">
      <protection hidden="1"/>
    </xf>
    <xf numFmtId="0" fontId="9" fillId="0" borderId="0" xfId="0" applyFont="1" applyProtection="1">
      <protection hidden="1"/>
    </xf>
    <xf numFmtId="168" fontId="8" fillId="0" borderId="0" xfId="0" applyNumberFormat="1" applyFont="1" applyProtection="1">
      <protection hidden="1"/>
    </xf>
    <xf numFmtId="166" fontId="8" fillId="0" borderId="0" xfId="0" applyNumberFormat="1" applyFont="1" applyProtection="1">
      <protection hidden="1"/>
    </xf>
    <xf numFmtId="167" fontId="8" fillId="0" borderId="0" xfId="0" applyNumberFormat="1" applyFont="1" applyProtection="1">
      <protection hidden="1"/>
    </xf>
    <xf numFmtId="169" fontId="8" fillId="0" borderId="0" xfId="0" applyNumberFormat="1" applyFont="1" applyProtection="1">
      <protection hidden="1"/>
    </xf>
    <xf numFmtId="0" fontId="6" fillId="0" borderId="0" xfId="0" applyFont="1" applyProtection="1">
      <protection hidden="1"/>
    </xf>
    <xf numFmtId="176" fontId="6" fillId="0" borderId="0" xfId="0" applyNumberFormat="1" applyFont="1" applyAlignment="1" applyProtection="1">
      <alignment horizontal="center"/>
      <protection hidden="1"/>
    </xf>
    <xf numFmtId="174" fontId="8" fillId="0" borderId="0" xfId="0" applyNumberFormat="1" applyFont="1" applyProtection="1">
      <protection hidden="1"/>
    </xf>
    <xf numFmtId="175" fontId="8" fillId="0" borderId="0" xfId="0" applyNumberFormat="1" applyFont="1" applyAlignment="1" applyProtection="1">
      <alignment horizontal="left"/>
      <protection hidden="1"/>
    </xf>
    <xf numFmtId="165" fontId="8" fillId="0" borderId="0" xfId="0" applyNumberFormat="1" applyFont="1" applyAlignment="1" applyProtection="1">
      <alignment horizontal="right"/>
      <protection hidden="1"/>
    </xf>
    <xf numFmtId="0" fontId="8" fillId="0" borderId="0" xfId="0" applyFont="1" applyAlignment="1" applyProtection="1">
      <alignment horizontal="right"/>
      <protection hidden="1"/>
    </xf>
    <xf numFmtId="2" fontId="8" fillId="0" borderId="0" xfId="0" applyNumberFormat="1" applyFont="1" applyProtection="1">
      <protection hidden="1"/>
    </xf>
    <xf numFmtId="177" fontId="8" fillId="0" borderId="0" xfId="0" applyNumberFormat="1" applyFont="1" applyAlignment="1" applyProtection="1">
      <alignment horizontal="left"/>
      <protection hidden="1"/>
    </xf>
    <xf numFmtId="170" fontId="8" fillId="0" borderId="0" xfId="0" applyNumberFormat="1" applyFont="1" applyAlignment="1" applyProtection="1">
      <alignment horizontal="center"/>
      <protection hidden="1"/>
    </xf>
    <xf numFmtId="164" fontId="8" fillId="0" borderId="0" xfId="0" applyNumberFormat="1" applyFont="1" applyProtection="1">
      <protection hidden="1"/>
    </xf>
    <xf numFmtId="0" fontId="10" fillId="0" borderId="0" xfId="0" applyFont="1" applyProtection="1">
      <protection hidden="1"/>
    </xf>
    <xf numFmtId="0" fontId="6" fillId="0" borderId="0" xfId="0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center"/>
      <protection hidden="1"/>
    </xf>
    <xf numFmtId="165" fontId="8" fillId="0" borderId="0" xfId="0" applyNumberFormat="1" applyFont="1" applyProtection="1">
      <protection hidden="1"/>
    </xf>
    <xf numFmtId="166" fontId="8" fillId="0" borderId="0" xfId="0" applyNumberFormat="1" applyFont="1" applyAlignment="1" applyProtection="1">
      <alignment horizontal="right"/>
      <protection hidden="1"/>
    </xf>
    <xf numFmtId="173" fontId="8" fillId="0" borderId="0" xfId="0" applyNumberFormat="1" applyFont="1" applyAlignment="1" applyProtection="1">
      <alignment horizontal="right"/>
      <protection hidden="1"/>
    </xf>
    <xf numFmtId="178" fontId="8" fillId="0" borderId="0" xfId="0" applyNumberFormat="1" applyFont="1" applyProtection="1">
      <protection hidden="1"/>
    </xf>
    <xf numFmtId="169" fontId="8" fillId="0" borderId="0" xfId="0" applyNumberFormat="1" applyFont="1" applyAlignment="1" applyProtection="1">
      <alignment horizontal="left"/>
      <protection hidden="1"/>
    </xf>
    <xf numFmtId="167" fontId="0" fillId="0" borderId="0" xfId="0" applyNumberFormat="1"/>
    <xf numFmtId="0" fontId="10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8" fillId="0" borderId="0" xfId="3" applyFont="1" applyProtection="1">
      <protection hidden="1"/>
    </xf>
    <xf numFmtId="180" fontId="25" fillId="0" borderId="0" xfId="3" applyNumberFormat="1" applyFont="1" applyAlignment="1" applyProtection="1">
      <alignment horizontal="center"/>
      <protection hidden="1"/>
    </xf>
    <xf numFmtId="172" fontId="32" fillId="0" borderId="0" xfId="3" applyNumberFormat="1" applyFont="1" applyProtection="1">
      <protection hidden="1"/>
    </xf>
    <xf numFmtId="0" fontId="8" fillId="0" borderId="26" xfId="3" applyFont="1" applyBorder="1" applyAlignment="1" applyProtection="1">
      <alignment horizontal="center"/>
      <protection hidden="1"/>
    </xf>
    <xf numFmtId="0" fontId="16" fillId="0" borderId="0" xfId="3" applyAlignment="1" applyProtection="1">
      <alignment wrapText="1"/>
      <protection hidden="1"/>
    </xf>
    <xf numFmtId="0" fontId="6" fillId="0" borderId="0" xfId="3" applyFont="1" applyProtection="1">
      <protection hidden="1"/>
    </xf>
    <xf numFmtId="0" fontId="8" fillId="0" borderId="0" xfId="3" applyFont="1" applyAlignment="1" applyProtection="1">
      <alignment horizontal="left"/>
      <protection hidden="1"/>
    </xf>
    <xf numFmtId="0" fontId="8" fillId="0" borderId="27" xfId="3" applyFont="1" applyBorder="1" applyAlignment="1" applyProtection="1">
      <alignment horizontal="center"/>
      <protection hidden="1"/>
    </xf>
    <xf numFmtId="169" fontId="8" fillId="0" borderId="0" xfId="3" applyNumberFormat="1" applyFont="1" applyProtection="1">
      <protection hidden="1"/>
    </xf>
    <xf numFmtId="0" fontId="32" fillId="0" borderId="0" xfId="3" applyFont="1" applyProtection="1">
      <protection hidden="1"/>
    </xf>
    <xf numFmtId="0" fontId="10" fillId="0" borderId="0" xfId="3" applyFont="1" applyProtection="1">
      <protection hidden="1"/>
    </xf>
    <xf numFmtId="0" fontId="6" fillId="0" borderId="0" xfId="3" applyFont="1" applyAlignment="1" applyProtection="1">
      <alignment horizontal="left"/>
      <protection hidden="1"/>
    </xf>
    <xf numFmtId="0" fontId="33" fillId="0" borderId="0" xfId="0" applyFont="1"/>
    <xf numFmtId="169" fontId="33" fillId="0" borderId="5" xfId="0" applyNumberFormat="1" applyFont="1" applyBorder="1"/>
    <xf numFmtId="169" fontId="33" fillId="0" borderId="7" xfId="0" applyNumberFormat="1" applyFont="1" applyBorder="1"/>
    <xf numFmtId="197" fontId="32" fillId="0" borderId="0" xfId="3" applyNumberFormat="1" applyFont="1" applyProtection="1">
      <protection hidden="1"/>
    </xf>
    <xf numFmtId="10" fontId="32" fillId="0" borderId="0" xfId="3" applyNumberFormat="1" applyFont="1" applyProtection="1">
      <protection hidden="1"/>
    </xf>
    <xf numFmtId="0" fontId="16" fillId="0" borderId="0" xfId="3" applyProtection="1">
      <protection hidden="1"/>
    </xf>
    <xf numFmtId="0" fontId="21" fillId="0" borderId="0" xfId="3" applyFont="1" applyAlignment="1" applyProtection="1">
      <alignment horizontal="left" vertical="center"/>
      <protection hidden="1"/>
    </xf>
    <xf numFmtId="0" fontId="15" fillId="0" borderId="45" xfId="0" applyFont="1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7" xfId="0" applyBorder="1" applyAlignment="1">
      <alignment vertical="center"/>
    </xf>
    <xf numFmtId="0" fontId="15" fillId="0" borderId="48" xfId="0" applyFont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5" fillId="0" borderId="0" xfId="0" applyFont="1"/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wrapText="1" shrinkToFit="1"/>
    </xf>
    <xf numFmtId="0" fontId="8" fillId="0" borderId="0" xfId="0" applyFont="1" applyAlignment="1">
      <alignment horizontal="left" wrapText="1" shrinkToFit="1"/>
    </xf>
    <xf numFmtId="0" fontId="8" fillId="0" borderId="0" xfId="0" applyFont="1" applyAlignment="1">
      <alignment horizontal="left" wrapText="1"/>
    </xf>
    <xf numFmtId="0" fontId="8" fillId="0" borderId="0" xfId="0" applyFont="1" applyAlignment="1">
      <alignment wrapText="1"/>
    </xf>
    <xf numFmtId="197" fontId="8" fillId="0" borderId="27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left" vertical="top" wrapText="1" shrinkToFit="1"/>
      <protection locked="0"/>
    </xf>
    <xf numFmtId="0" fontId="8" fillId="0" borderId="0" xfId="0" applyFont="1" applyAlignment="1" applyProtection="1">
      <alignment vertical="top" wrapText="1" shrinkToFit="1"/>
      <protection locked="0"/>
    </xf>
    <xf numFmtId="0" fontId="8" fillId="0" borderId="0" xfId="0" applyFont="1" applyAlignment="1" applyProtection="1">
      <alignment wrapText="1" shrinkToFit="1"/>
      <protection locked="0"/>
    </xf>
    <xf numFmtId="0" fontId="6" fillId="0" borderId="0" xfId="0" applyFont="1"/>
    <xf numFmtId="0" fontId="2" fillId="0" borderId="16" xfId="0" applyFont="1" applyBorder="1"/>
    <xf numFmtId="0" fontId="2" fillId="0" borderId="41" xfId="0" applyFont="1" applyBorder="1"/>
    <xf numFmtId="0" fontId="2" fillId="0" borderId="17" xfId="0" applyFont="1" applyBorder="1"/>
    <xf numFmtId="0" fontId="2" fillId="0" borderId="0" xfId="0" applyFont="1"/>
    <xf numFmtId="0" fontId="2" fillId="0" borderId="18" xfId="0" applyFont="1" applyBorder="1"/>
    <xf numFmtId="0" fontId="2" fillId="0" borderId="19" xfId="0" applyFont="1" applyBorder="1"/>
    <xf numFmtId="0" fontId="17" fillId="0" borderId="0" xfId="0" applyFont="1"/>
    <xf numFmtId="0" fontId="16" fillId="0" borderId="0" xfId="0" applyFont="1"/>
    <xf numFmtId="0" fontId="19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 wrapText="1"/>
    </xf>
    <xf numFmtId="0" fontId="8" fillId="0" borderId="0" xfId="0" applyFont="1" applyAlignment="1">
      <alignment horizontal="right" vertical="center" wrapText="1"/>
    </xf>
    <xf numFmtId="0" fontId="8" fillId="0" borderId="0" xfId="0" applyFont="1" applyAlignment="1">
      <alignment horizontal="right"/>
    </xf>
    <xf numFmtId="169" fontId="8" fillId="0" borderId="0" xfId="0" applyNumberFormat="1" applyFont="1"/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169" fontId="8" fillId="0" borderId="0" xfId="0" applyNumberFormat="1" applyFont="1" applyAlignment="1">
      <alignment horizontal="left"/>
    </xf>
    <xf numFmtId="2" fontId="11" fillId="0" borderId="0" xfId="0" applyNumberFormat="1" applyFont="1" applyAlignment="1">
      <alignment horizontal="center"/>
    </xf>
    <xf numFmtId="0" fontId="2" fillId="0" borderId="90" xfId="0" applyFont="1" applyBorder="1"/>
    <xf numFmtId="0" fontId="10" fillId="0" borderId="92" xfId="0" applyFont="1" applyBorder="1" applyAlignment="1" applyProtection="1">
      <alignment vertical="center"/>
      <protection hidden="1"/>
    </xf>
    <xf numFmtId="0" fontId="10" fillId="0" borderId="0" xfId="0" applyFont="1" applyAlignment="1" applyProtection="1">
      <alignment vertical="center"/>
      <protection locked="0"/>
    </xf>
    <xf numFmtId="0" fontId="6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6" fillId="0" borderId="0" xfId="0" applyFont="1" applyAlignment="1" applyProtection="1">
      <alignment horizontal="left"/>
      <protection locked="0"/>
    </xf>
    <xf numFmtId="0" fontId="8" fillId="0" borderId="0" xfId="0" applyFont="1" applyAlignment="1" applyProtection="1">
      <alignment horizontal="left"/>
      <protection locked="0"/>
    </xf>
    <xf numFmtId="0" fontId="10" fillId="0" borderId="0" xfId="0" applyFont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right"/>
      <protection locked="0"/>
    </xf>
    <xf numFmtId="0" fontId="10" fillId="0" borderId="0" xfId="0" applyFont="1" applyAlignment="1" applyProtection="1">
      <alignment horizontal="center"/>
      <protection locked="0"/>
    </xf>
    <xf numFmtId="170" fontId="8" fillId="0" borderId="0" xfId="0" applyNumberFormat="1" applyFont="1" applyAlignment="1" applyProtection="1">
      <alignment horizontal="center"/>
      <protection locked="0"/>
    </xf>
    <xf numFmtId="166" fontId="8" fillId="0" borderId="0" xfId="0" applyNumberFormat="1" applyFont="1" applyProtection="1">
      <protection locked="0"/>
    </xf>
    <xf numFmtId="165" fontId="8" fillId="0" borderId="0" xfId="0" applyNumberFormat="1" applyFont="1" applyProtection="1">
      <protection locked="0"/>
    </xf>
    <xf numFmtId="166" fontId="8" fillId="0" borderId="0" xfId="0" applyNumberFormat="1" applyFont="1" applyAlignment="1" applyProtection="1">
      <alignment horizontal="right"/>
      <protection locked="0"/>
    </xf>
    <xf numFmtId="164" fontId="8" fillId="0" borderId="0" xfId="0" applyNumberFormat="1" applyFont="1" applyProtection="1">
      <protection locked="0"/>
    </xf>
    <xf numFmtId="173" fontId="8" fillId="0" borderId="0" xfId="0" applyNumberFormat="1" applyFont="1" applyAlignment="1" applyProtection="1">
      <alignment horizontal="right"/>
      <protection locked="0"/>
    </xf>
    <xf numFmtId="175" fontId="8" fillId="0" borderId="0" xfId="0" applyNumberFormat="1" applyFont="1" applyAlignment="1" applyProtection="1">
      <alignment horizontal="left"/>
      <protection locked="0"/>
    </xf>
    <xf numFmtId="0" fontId="9" fillId="0" borderId="0" xfId="0" applyFont="1" applyProtection="1">
      <protection locked="0"/>
    </xf>
    <xf numFmtId="174" fontId="8" fillId="0" borderId="0" xfId="0" applyNumberFormat="1" applyFont="1" applyProtection="1">
      <protection locked="0"/>
    </xf>
    <xf numFmtId="165" fontId="8" fillId="0" borderId="0" xfId="0" applyNumberFormat="1" applyFont="1" applyAlignment="1" applyProtection="1">
      <alignment horizontal="right"/>
      <protection locked="0"/>
    </xf>
    <xf numFmtId="2" fontId="8" fillId="0" borderId="0" xfId="0" applyNumberFormat="1" applyFont="1" applyProtection="1">
      <protection locked="0"/>
    </xf>
    <xf numFmtId="177" fontId="8" fillId="0" borderId="0" xfId="0" applyNumberFormat="1" applyFont="1" applyAlignment="1" applyProtection="1">
      <alignment horizontal="left"/>
      <protection locked="0"/>
    </xf>
    <xf numFmtId="178" fontId="8" fillId="0" borderId="0" xfId="0" applyNumberFormat="1" applyFont="1" applyProtection="1">
      <protection locked="0"/>
    </xf>
    <xf numFmtId="168" fontId="8" fillId="0" borderId="0" xfId="0" applyNumberFormat="1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67" fontId="8" fillId="0" borderId="0" xfId="0" applyNumberFormat="1" applyFont="1" applyProtection="1">
      <protection locked="0"/>
    </xf>
    <xf numFmtId="176" fontId="6" fillId="0" borderId="0" xfId="0" applyNumberFormat="1" applyFont="1" applyAlignment="1" applyProtection="1">
      <alignment horizontal="center"/>
      <protection locked="0"/>
    </xf>
    <xf numFmtId="169" fontId="8" fillId="0" borderId="0" xfId="0" applyNumberFormat="1" applyFont="1" applyProtection="1">
      <protection locked="0"/>
    </xf>
    <xf numFmtId="169" fontId="8" fillId="0" borderId="0" xfId="0" applyNumberFormat="1" applyFont="1" applyAlignment="1" applyProtection="1">
      <alignment horizontal="left"/>
      <protection locked="0"/>
    </xf>
    <xf numFmtId="0" fontId="10" fillId="0" borderId="93" xfId="0" applyFont="1" applyBorder="1" applyAlignment="1" applyProtection="1">
      <alignment vertical="center"/>
      <protection locked="0"/>
    </xf>
    <xf numFmtId="0" fontId="39" fillId="0" borderId="0" xfId="0" applyFont="1" applyAlignment="1">
      <alignment horizontal="center" vertical="center"/>
    </xf>
    <xf numFmtId="0" fontId="33" fillId="0" borderId="4" xfId="0" applyFont="1" applyBorder="1"/>
    <xf numFmtId="0" fontId="15" fillId="11" borderId="0" xfId="0" applyFont="1" applyFill="1"/>
    <xf numFmtId="0" fontId="0" fillId="11" borderId="0" xfId="0" applyFill="1"/>
    <xf numFmtId="0" fontId="33" fillId="0" borderId="100" xfId="0" applyFont="1" applyBorder="1"/>
    <xf numFmtId="0" fontId="50" fillId="12" borderId="0" xfId="0" applyFont="1" applyFill="1"/>
    <xf numFmtId="0" fontId="30" fillId="12" borderId="0" xfId="0" applyFont="1" applyFill="1"/>
    <xf numFmtId="0" fontId="51" fillId="12" borderId="0" xfId="0" applyFont="1" applyFill="1"/>
    <xf numFmtId="0" fontId="51" fillId="0" borderId="0" xfId="0" applyFont="1"/>
    <xf numFmtId="0" fontId="33" fillId="0" borderId="12" xfId="0" applyFont="1" applyBorder="1"/>
    <xf numFmtId="0" fontId="33" fillId="0" borderId="13" xfId="0" applyFont="1" applyBorder="1"/>
    <xf numFmtId="0" fontId="33" fillId="0" borderId="7" xfId="0" applyFont="1" applyBorder="1"/>
    <xf numFmtId="0" fontId="33" fillId="0" borderId="5" xfId="0" applyFont="1" applyBorder="1"/>
    <xf numFmtId="0" fontId="33" fillId="0" borderId="8" xfId="0" applyFont="1" applyBorder="1"/>
    <xf numFmtId="184" fontId="33" fillId="0" borderId="88" xfId="0" applyNumberFormat="1" applyFont="1" applyBorder="1" applyAlignment="1">
      <alignment horizontal="right"/>
    </xf>
    <xf numFmtId="0" fontId="33" fillId="0" borderId="123" xfId="0" applyFont="1" applyBorder="1"/>
    <xf numFmtId="0" fontId="33" fillId="0" borderId="3" xfId="0" applyFont="1" applyBorder="1"/>
    <xf numFmtId="0" fontId="33" fillId="0" borderId="125" xfId="0" applyFont="1" applyBorder="1"/>
    <xf numFmtId="0" fontId="33" fillId="0" borderId="76" xfId="0" applyFont="1" applyBorder="1" applyAlignment="1">
      <alignment horizontal="left"/>
    </xf>
    <xf numFmtId="0" fontId="33" fillId="0" borderId="127" xfId="0" applyFont="1" applyBorder="1"/>
    <xf numFmtId="0" fontId="33" fillId="0" borderId="65" xfId="0" applyFont="1" applyBorder="1" applyAlignment="1">
      <alignment horizontal="left"/>
    </xf>
    <xf numFmtId="0" fontId="33" fillId="0" borderId="117" xfId="0" applyFont="1" applyBorder="1"/>
    <xf numFmtId="0" fontId="33" fillId="0" borderId="11" xfId="0" applyFont="1" applyBorder="1"/>
    <xf numFmtId="0" fontId="33" fillId="0" borderId="76" xfId="0" applyFont="1" applyBorder="1"/>
    <xf numFmtId="0" fontId="33" fillId="0" borderId="65" xfId="0" applyFont="1" applyBorder="1"/>
    <xf numFmtId="0" fontId="33" fillId="0" borderId="103" xfId="0" applyFont="1" applyBorder="1"/>
    <xf numFmtId="0" fontId="33" fillId="0" borderId="66" xfId="0" applyFont="1" applyBorder="1"/>
    <xf numFmtId="188" fontId="33" fillId="0" borderId="0" xfId="0" applyNumberFormat="1" applyFont="1"/>
    <xf numFmtId="0" fontId="0" fillId="0" borderId="3" xfId="0" applyBorder="1"/>
    <xf numFmtId="0" fontId="0" fillId="0" borderId="20" xfId="0" applyBorder="1"/>
    <xf numFmtId="0" fontId="0" fillId="0" borderId="3" xfId="0" applyBorder="1" applyAlignment="1">
      <alignment horizontal="left"/>
    </xf>
    <xf numFmtId="0" fontId="0" fillId="0" borderId="14" xfId="0" applyBorder="1"/>
    <xf numFmtId="187" fontId="33" fillId="0" borderId="0" xfId="0" applyNumberFormat="1" applyFont="1"/>
    <xf numFmtId="0" fontId="0" fillId="0" borderId="5" xfId="0" applyBorder="1"/>
    <xf numFmtId="0" fontId="0" fillId="0" borderId="13" xfId="0" applyBorder="1"/>
    <xf numFmtId="0" fontId="0" fillId="0" borderId="4" xfId="0" applyBorder="1"/>
    <xf numFmtId="0" fontId="0" fillId="0" borderId="7" xfId="0" applyBorder="1"/>
    <xf numFmtId="0" fontId="33" fillId="0" borderId="14" xfId="0" applyFont="1" applyBorder="1"/>
    <xf numFmtId="0" fontId="0" fillId="0" borderId="102" xfId="0" applyBorder="1"/>
    <xf numFmtId="0" fontId="34" fillId="0" borderId="0" xfId="0" applyFont="1" applyAlignment="1">
      <alignment horizontal="center"/>
    </xf>
    <xf numFmtId="0" fontId="6" fillId="4" borderId="9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4" fillId="3" borderId="0" xfId="0" quotePrefix="1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6" fillId="5" borderId="50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0" fillId="0" borderId="67" xfId="0" applyBorder="1"/>
    <xf numFmtId="0" fontId="0" fillId="0" borderId="8" xfId="0" applyBorder="1"/>
    <xf numFmtId="193" fontId="0" fillId="0" borderId="0" xfId="0" applyNumberFormat="1" applyAlignment="1">
      <alignment horizontal="center"/>
    </xf>
    <xf numFmtId="166" fontId="0" fillId="0" borderId="0" xfId="0" applyNumberFormat="1"/>
    <xf numFmtId="189" fontId="0" fillId="0" borderId="0" xfId="0" applyNumberFormat="1"/>
    <xf numFmtId="0" fontId="41" fillId="0" borderId="0" xfId="0" applyFont="1" applyAlignment="1">
      <alignment horizontal="center"/>
    </xf>
    <xf numFmtId="184" fontId="33" fillId="0" borderId="88" xfId="0" applyNumberFormat="1" applyFont="1" applyBorder="1" applyAlignment="1" applyProtection="1">
      <alignment horizontal="right"/>
      <protection locked="0"/>
    </xf>
    <xf numFmtId="0" fontId="35" fillId="0" borderId="4" xfId="0" applyFont="1" applyBorder="1"/>
    <xf numFmtId="0" fontId="37" fillId="0" borderId="0" xfId="0" applyFont="1"/>
    <xf numFmtId="0" fontId="35" fillId="0" borderId="0" xfId="0" applyFont="1"/>
    <xf numFmtId="0" fontId="44" fillId="0" borderId="0" xfId="0" applyFont="1"/>
    <xf numFmtId="2" fontId="45" fillId="0" borderId="0" xfId="0" applyNumberFormat="1" applyFont="1"/>
    <xf numFmtId="2" fontId="45" fillId="0" borderId="5" xfId="0" applyNumberFormat="1" applyFont="1" applyBorder="1"/>
    <xf numFmtId="0" fontId="34" fillId="0" borderId="4" xfId="0" applyFont="1" applyBorder="1" applyAlignment="1">
      <alignment horizontal="left" vertical="center"/>
    </xf>
    <xf numFmtId="0" fontId="0" fillId="0" borderId="22" xfId="0" applyBorder="1"/>
    <xf numFmtId="0" fontId="0" fillId="0" borderId="0" xfId="0" applyAlignment="1">
      <alignment horizontal="right"/>
    </xf>
    <xf numFmtId="0" fontId="1" fillId="0" borderId="22" xfId="0" applyFont="1" applyBorder="1"/>
    <xf numFmtId="0" fontId="1" fillId="0" borderId="4" xfId="0" applyFont="1" applyBorder="1"/>
    <xf numFmtId="0" fontId="5" fillId="0" borderId="4" xfId="0" applyFont="1" applyBorder="1"/>
    <xf numFmtId="0" fontId="0" fillId="0" borderId="12" xfId="0" applyBorder="1"/>
    <xf numFmtId="0" fontId="1" fillId="0" borderId="14" xfId="0" applyFont="1" applyBorder="1"/>
    <xf numFmtId="0" fontId="2" fillId="0" borderId="14" xfId="0" applyFont="1" applyBorder="1"/>
    <xf numFmtId="188" fontId="0" fillId="0" borderId="0" xfId="0" applyNumberFormat="1"/>
    <xf numFmtId="176" fontId="2" fillId="0" borderId="0" xfId="0" applyNumberFormat="1" applyFont="1"/>
    <xf numFmtId="169" fontId="0" fillId="0" borderId="0" xfId="0" applyNumberFormat="1"/>
    <xf numFmtId="0" fontId="33" fillId="0" borderId="72" xfId="0" applyFont="1" applyBorder="1"/>
    <xf numFmtId="0" fontId="0" fillId="0" borderId="1" xfId="0" applyBorder="1"/>
    <xf numFmtId="0" fontId="36" fillId="0" borderId="0" xfId="0" applyFont="1"/>
    <xf numFmtId="0" fontId="48" fillId="12" borderId="0" xfId="0" applyFont="1" applyFill="1"/>
    <xf numFmtId="0" fontId="8" fillId="0" borderId="0" xfId="0" applyFont="1" applyAlignment="1" applyProtection="1">
      <alignment horizontal="left" wrapText="1" shrinkToFit="1"/>
      <protection locked="0"/>
    </xf>
    <xf numFmtId="0" fontId="34" fillId="0" borderId="0" xfId="0" applyFont="1"/>
    <xf numFmtId="166" fontId="44" fillId="0" borderId="5" xfId="0" applyNumberFormat="1" applyFont="1" applyBorder="1"/>
    <xf numFmtId="166" fontId="44" fillId="0" borderId="8" xfId="0" applyNumberFormat="1" applyFont="1" applyBorder="1"/>
    <xf numFmtId="0" fontId="36" fillId="12" borderId="0" xfId="0" applyFont="1" applyFill="1"/>
    <xf numFmtId="193" fontId="0" fillId="0" borderId="5" xfId="0" applyNumberFormat="1" applyBorder="1" applyAlignment="1">
      <alignment horizontal="center"/>
    </xf>
    <xf numFmtId="166" fontId="0" fillId="0" borderId="5" xfId="0" applyNumberFormat="1" applyBorder="1"/>
    <xf numFmtId="0" fontId="52" fillId="0" borderId="0" xfId="0" applyFont="1"/>
    <xf numFmtId="0" fontId="53" fillId="0" borderId="0" xfId="0" applyFont="1"/>
    <xf numFmtId="0" fontId="48" fillId="0" borderId="0" xfId="0" applyFont="1"/>
    <xf numFmtId="0" fontId="54" fillId="0" borderId="0" xfId="0" applyFont="1"/>
    <xf numFmtId="0" fontId="54" fillId="0" borderId="0" xfId="0" applyFont="1" applyAlignment="1">
      <alignment horizontal="left"/>
    </xf>
    <xf numFmtId="0" fontId="55" fillId="0" borderId="0" xfId="0" applyFont="1"/>
    <xf numFmtId="196" fontId="53" fillId="0" borderId="0" xfId="0" applyNumberFormat="1" applyFont="1"/>
    <xf numFmtId="188" fontId="53" fillId="0" borderId="0" xfId="0" applyNumberFormat="1" applyFont="1"/>
    <xf numFmtId="169" fontId="8" fillId="0" borderId="44" xfId="0" applyNumberFormat="1" applyFont="1" applyBorder="1" applyAlignment="1">
      <alignment horizontal="left" indent="1"/>
    </xf>
    <xf numFmtId="169" fontId="8" fillId="0" borderId="46" xfId="0" applyNumberFormat="1" applyFont="1" applyBorder="1" applyAlignment="1">
      <alignment horizontal="left" indent="1"/>
    </xf>
    <xf numFmtId="180" fontId="8" fillId="0" borderId="45" xfId="0" applyNumberFormat="1" applyFont="1" applyBorder="1" applyAlignment="1" applyProtection="1">
      <alignment horizontal="center"/>
      <protection locked="0"/>
    </xf>
    <xf numFmtId="194" fontId="18" fillId="0" borderId="42" xfId="0" applyNumberFormat="1" applyFont="1" applyBorder="1" applyAlignment="1" applyProtection="1">
      <alignment horizontal="left"/>
      <protection locked="0"/>
    </xf>
    <xf numFmtId="0" fontId="41" fillId="0" borderId="14" xfId="0" applyFont="1" applyBorder="1" applyAlignment="1">
      <alignment horizontal="left"/>
    </xf>
    <xf numFmtId="0" fontId="41" fillId="0" borderId="0" xfId="0" applyFont="1" applyAlignment="1">
      <alignment horizontal="left"/>
    </xf>
    <xf numFmtId="0" fontId="48" fillId="12" borderId="0" xfId="0" applyFont="1" applyFill="1" applyAlignment="1">
      <alignment horizontal="center"/>
    </xf>
    <xf numFmtId="0" fontId="0" fillId="0" borderId="103" xfId="0" applyBorder="1"/>
    <xf numFmtId="0" fontId="0" fillId="0" borderId="0" xfId="0" applyProtection="1">
      <protection locked="0"/>
    </xf>
    <xf numFmtId="0" fontId="33" fillId="0" borderId="0" xfId="0" applyFont="1" applyAlignment="1" applyProtection="1">
      <alignment horizontal="center"/>
      <protection locked="0"/>
    </xf>
    <xf numFmtId="207" fontId="23" fillId="0" borderId="52" xfId="0" applyNumberFormat="1" applyFont="1" applyBorder="1" applyAlignment="1" applyProtection="1">
      <alignment horizontal="center" vertical="center"/>
      <protection locked="0"/>
    </xf>
    <xf numFmtId="207" fontId="23" fillId="3" borderId="27" xfId="0" applyNumberFormat="1" applyFont="1" applyFill="1" applyBorder="1" applyAlignment="1" applyProtection="1">
      <alignment horizontal="center" vertical="center"/>
      <protection locked="0"/>
    </xf>
    <xf numFmtId="208" fontId="23" fillId="3" borderId="27" xfId="0" applyNumberFormat="1" applyFont="1" applyFill="1" applyBorder="1" applyAlignment="1" applyProtection="1">
      <alignment horizontal="center" vertical="center"/>
      <protection locked="0"/>
    </xf>
    <xf numFmtId="208" fontId="23" fillId="0" borderId="27" xfId="0" applyNumberFormat="1" applyFont="1" applyBorder="1" applyAlignment="1" applyProtection="1">
      <alignment horizontal="center" vertical="center"/>
      <protection locked="0"/>
    </xf>
    <xf numFmtId="0" fontId="8" fillId="0" borderId="0" xfId="3" applyFont="1" applyAlignment="1" applyProtection="1">
      <alignment vertical="center" wrapText="1"/>
      <protection hidden="1"/>
    </xf>
    <xf numFmtId="0" fontId="33" fillId="0" borderId="3" xfId="0" applyFont="1" applyBorder="1" applyAlignment="1">
      <alignment horizontal="left"/>
    </xf>
    <xf numFmtId="0" fontId="33" fillId="0" borderId="100" xfId="0" applyFont="1" applyBorder="1" applyAlignment="1">
      <alignment horizontal="left"/>
    </xf>
    <xf numFmtId="0" fontId="34" fillId="0" borderId="4" xfId="0" applyFont="1" applyBorder="1"/>
    <xf numFmtId="0" fontId="33" fillId="0" borderId="0" xfId="0" applyFont="1" applyAlignment="1">
      <alignment horizontal="left"/>
    </xf>
    <xf numFmtId="2" fontId="4" fillId="0" borderId="139" xfId="0" applyNumberFormat="1" applyFont="1" applyBorder="1" applyAlignment="1">
      <alignment horizontal="right"/>
    </xf>
    <xf numFmtId="0" fontId="0" fillId="0" borderId="97" xfId="0" applyBorder="1"/>
    <xf numFmtId="2" fontId="4" fillId="0" borderId="108" xfId="0" applyNumberFormat="1" applyFont="1" applyBorder="1" applyAlignment="1">
      <alignment horizontal="right"/>
    </xf>
    <xf numFmtId="0" fontId="33" fillId="0" borderId="151" xfId="0" applyFont="1" applyBorder="1"/>
    <xf numFmtId="2" fontId="4" fillId="0" borderId="108" xfId="0" applyNumberFormat="1" applyFont="1" applyBorder="1"/>
    <xf numFmtId="0" fontId="0" fillId="0" borderId="153" xfId="0" applyBorder="1"/>
    <xf numFmtId="0" fontId="0" fillId="0" borderId="155" xfId="0" applyBorder="1"/>
    <xf numFmtId="0" fontId="0" fillId="0" borderId="156" xfId="0" applyBorder="1"/>
    <xf numFmtId="0" fontId="0" fillId="0" borderId="154" xfId="0" applyBorder="1"/>
    <xf numFmtId="0" fontId="33" fillId="0" borderId="24" xfId="0" applyFont="1" applyBorder="1"/>
    <xf numFmtId="0" fontId="33" fillId="0" borderId="70" xfId="0" applyFont="1" applyBorder="1"/>
    <xf numFmtId="0" fontId="0" fillId="0" borderId="146" xfId="0" applyBorder="1"/>
    <xf numFmtId="0" fontId="16" fillId="0" borderId="30" xfId="3" applyBorder="1" applyAlignment="1" applyProtection="1">
      <alignment wrapText="1"/>
      <protection hidden="1"/>
    </xf>
    <xf numFmtId="0" fontId="24" fillId="0" borderId="28" xfId="0" applyFont="1" applyBorder="1" applyAlignment="1">
      <alignment horizontal="center" vertical="center"/>
    </xf>
    <xf numFmtId="207" fontId="2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163" xfId="0" applyFont="1" applyBorder="1" applyAlignment="1" applyProtection="1">
      <alignment horizontal="right"/>
      <protection locked="0"/>
    </xf>
    <xf numFmtId="0" fontId="3" fillId="0" borderId="131" xfId="0" applyFont="1" applyBorder="1" applyAlignment="1" applyProtection="1">
      <alignment horizontal="right"/>
      <protection locked="0"/>
    </xf>
    <xf numFmtId="0" fontId="29" fillId="0" borderId="5" xfId="0" applyFont="1" applyBorder="1"/>
    <xf numFmtId="0" fontId="3" fillId="0" borderId="126" xfId="0" applyFont="1" applyBorder="1" applyAlignment="1" applyProtection="1">
      <alignment horizontal="right"/>
      <protection locked="0"/>
    </xf>
    <xf numFmtId="186" fontId="33" fillId="0" borderId="106" xfId="0" applyNumberFormat="1" applyFont="1" applyBorder="1"/>
    <xf numFmtId="200" fontId="3" fillId="0" borderId="105" xfId="0" applyNumberFormat="1" applyFont="1" applyBorder="1"/>
    <xf numFmtId="200" fontId="3" fillId="0" borderId="106" xfId="0" applyNumberFormat="1" applyFont="1" applyBorder="1"/>
    <xf numFmtId="201" fontId="33" fillId="0" borderId="73" xfId="0" applyNumberFormat="1" applyFont="1" applyBorder="1"/>
    <xf numFmtId="201" fontId="33" fillId="0" borderId="105" xfId="0" applyNumberFormat="1" applyFont="1" applyBorder="1"/>
    <xf numFmtId="200" fontId="3" fillId="0" borderId="140" xfId="0" applyNumberFormat="1" applyFont="1" applyBorder="1"/>
    <xf numFmtId="0" fontId="15" fillId="0" borderId="46" xfId="0" applyFont="1" applyBorder="1" applyAlignment="1">
      <alignment horizontal="left" vertical="center"/>
    </xf>
    <xf numFmtId="0" fontId="28" fillId="0" borderId="0" xfId="0" applyFont="1" applyAlignment="1" applyProtection="1">
      <alignment vertical="top" wrapText="1"/>
      <protection locked="0"/>
    </xf>
    <xf numFmtId="0" fontId="28" fillId="0" borderId="0" xfId="0" applyFont="1" applyAlignment="1" applyProtection="1">
      <alignment horizontal="left" vertical="top" wrapText="1"/>
      <protection locked="0"/>
    </xf>
    <xf numFmtId="0" fontId="57" fillId="0" borderId="3" xfId="0" applyFont="1" applyBorder="1" applyAlignment="1">
      <alignment horizontal="left"/>
    </xf>
    <xf numFmtId="0" fontId="25" fillId="6" borderId="40" xfId="0" applyFont="1" applyFill="1" applyBorder="1" applyAlignment="1">
      <alignment horizontal="center" vertical="center"/>
    </xf>
    <xf numFmtId="0" fontId="25" fillId="6" borderId="40" xfId="0" applyFont="1" applyFill="1" applyBorder="1" applyAlignment="1">
      <alignment horizontal="left" vertical="center"/>
    </xf>
    <xf numFmtId="0" fontId="25" fillId="6" borderId="40" xfId="0" applyFont="1" applyFill="1" applyBorder="1"/>
    <xf numFmtId="0" fontId="15" fillId="0" borderId="2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25" fillId="0" borderId="61" xfId="0" applyFont="1" applyBorder="1"/>
    <xf numFmtId="0" fontId="8" fillId="0" borderId="13" xfId="0" applyFont="1" applyBorder="1"/>
    <xf numFmtId="0" fontId="8" fillId="0" borderId="14" xfId="0" applyFont="1" applyBorder="1" applyAlignment="1">
      <alignment horizontal="left"/>
    </xf>
    <xf numFmtId="0" fontId="25" fillId="6" borderId="165" xfId="0" applyFont="1" applyFill="1" applyBorder="1" applyAlignment="1">
      <alignment horizontal="center" vertical="center"/>
    </xf>
    <xf numFmtId="0" fontId="25" fillId="6" borderId="166" xfId="0" applyFont="1" applyFill="1" applyBorder="1" applyAlignment="1">
      <alignment horizontal="center"/>
    </xf>
    <xf numFmtId="0" fontId="29" fillId="0" borderId="0" xfId="3" applyFont="1" applyAlignment="1" applyProtection="1">
      <alignment vertical="top" wrapText="1"/>
      <protection hidden="1"/>
    </xf>
    <xf numFmtId="0" fontId="33" fillId="0" borderId="0" xfId="0" applyFont="1" applyAlignment="1">
      <alignment horizontal="center" vertical="center"/>
    </xf>
    <xf numFmtId="0" fontId="16" fillId="0" borderId="28" xfId="0" applyFont="1" applyBorder="1"/>
    <xf numFmtId="0" fontId="16" fillId="0" borderId="40" xfId="0" applyFont="1" applyBorder="1"/>
    <xf numFmtId="0" fontId="16" fillId="0" borderId="29" xfId="0" applyFont="1" applyBorder="1"/>
    <xf numFmtId="0" fontId="16" fillId="0" borderId="0" xfId="0" applyFont="1" applyAlignment="1">
      <alignment horizontal="center"/>
    </xf>
    <xf numFmtId="0" fontId="6" fillId="0" borderId="22" xfId="0" applyFont="1" applyBorder="1"/>
    <xf numFmtId="0" fontId="16" fillId="0" borderId="14" xfId="0" applyFont="1" applyBorder="1"/>
    <xf numFmtId="0" fontId="16" fillId="0" borderId="13" xfId="0" applyFont="1" applyBorder="1"/>
    <xf numFmtId="0" fontId="16" fillId="0" borderId="7" xfId="0" applyFont="1" applyBorder="1"/>
    <xf numFmtId="184" fontId="0" fillId="0" borderId="0" xfId="0" applyNumberFormat="1"/>
    <xf numFmtId="0" fontId="6" fillId="0" borderId="170" xfId="0" applyFont="1" applyBorder="1"/>
    <xf numFmtId="0" fontId="0" fillId="0" borderId="171" xfId="0" applyBorder="1"/>
    <xf numFmtId="0" fontId="16" fillId="0" borderId="171" xfId="0" applyFont="1" applyBorder="1"/>
    <xf numFmtId="0" fontId="16" fillId="0" borderId="172" xfId="0" applyFont="1" applyBorder="1"/>
    <xf numFmtId="0" fontId="2" fillId="0" borderId="171" xfId="0" applyFont="1" applyBorder="1"/>
    <xf numFmtId="0" fontId="0" fillId="0" borderId="170" xfId="0" applyBorder="1"/>
    <xf numFmtId="0" fontId="0" fillId="0" borderId="172" xfId="0" applyBorder="1"/>
    <xf numFmtId="0" fontId="0" fillId="0" borderId="14" xfId="0" applyBorder="1" applyAlignment="1">
      <alignment horizontal="center"/>
    </xf>
    <xf numFmtId="0" fontId="16" fillId="0" borderId="22" xfId="0" applyFont="1" applyBorder="1"/>
    <xf numFmtId="0" fontId="16" fillId="0" borderId="8" xfId="0" applyFont="1" applyBorder="1"/>
    <xf numFmtId="0" fontId="19" fillId="0" borderId="13" xfId="0" applyFont="1" applyBorder="1"/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5" fillId="6" borderId="40" xfId="0" applyFont="1" applyFill="1" applyBorder="1" applyAlignment="1">
      <alignment horizontal="center"/>
    </xf>
    <xf numFmtId="0" fontId="33" fillId="0" borderId="14" xfId="0" applyFont="1" applyBorder="1" applyAlignment="1">
      <alignment horizontal="left"/>
    </xf>
    <xf numFmtId="0" fontId="34" fillId="0" borderId="4" xfId="0" applyFont="1" applyBorder="1" applyAlignment="1">
      <alignment horizontal="center"/>
    </xf>
    <xf numFmtId="169" fontId="33" fillId="0" borderId="13" xfId="0" applyNumberFormat="1" applyFont="1" applyBorder="1"/>
    <xf numFmtId="0" fontId="8" fillId="0" borderId="61" xfId="0" applyFont="1" applyBorder="1" applyAlignment="1">
      <alignment vertical="center"/>
    </xf>
    <xf numFmtId="0" fontId="6" fillId="0" borderId="26" xfId="3" applyFont="1" applyBorder="1" applyAlignment="1" applyProtection="1">
      <alignment horizontal="center"/>
      <protection hidden="1"/>
    </xf>
    <xf numFmtId="0" fontId="6" fillId="0" borderId="27" xfId="3" applyFont="1" applyBorder="1" applyAlignment="1" applyProtection="1">
      <alignment horizontal="center"/>
      <protection hidden="1"/>
    </xf>
    <xf numFmtId="1" fontId="15" fillId="0" borderId="96" xfId="0" applyNumberFormat="1" applyFont="1" applyBorder="1" applyAlignment="1" applyProtection="1">
      <alignment horizontal="center"/>
      <protection locked="0"/>
    </xf>
    <xf numFmtId="0" fontId="8" fillId="0" borderId="61" xfId="3" applyFont="1" applyBorder="1" applyAlignment="1">
      <alignment vertical="center"/>
    </xf>
    <xf numFmtId="0" fontId="32" fillId="0" borderId="0" xfId="0" applyFont="1" applyAlignment="1">
      <alignment horizontal="left" wrapText="1" shrinkToFit="1"/>
    </xf>
    <xf numFmtId="0" fontId="62" fillId="0" borderId="0" xfId="0" applyFont="1" applyAlignment="1">
      <alignment vertical="top" wrapText="1"/>
    </xf>
    <xf numFmtId="0" fontId="32" fillId="0" borderId="0" xfId="0" applyFont="1" applyAlignment="1">
      <alignment wrapText="1" shrinkToFit="1"/>
    </xf>
    <xf numFmtId="0" fontId="32" fillId="0" borderId="0" xfId="0" applyFont="1"/>
    <xf numFmtId="0" fontId="32" fillId="0" borderId="0" xfId="3" applyFont="1"/>
    <xf numFmtId="210" fontId="32" fillId="0" borderId="0" xfId="3" applyNumberFormat="1" applyFont="1" applyProtection="1">
      <protection hidden="1"/>
    </xf>
    <xf numFmtId="0" fontId="27" fillId="0" borderId="0" xfId="0" applyFont="1" applyAlignment="1" applyProtection="1">
      <alignment horizontal="center" vertical="center" wrapText="1" shrinkToFit="1"/>
      <protection locked="0"/>
    </xf>
    <xf numFmtId="0" fontId="28" fillId="0" borderId="0" xfId="0" applyFont="1" applyAlignment="1" applyProtection="1">
      <alignment horizontal="center" vertical="top" wrapText="1" shrinkToFit="1"/>
      <protection locked="0"/>
    </xf>
    <xf numFmtId="0" fontId="12" fillId="0" borderId="0" xfId="0" applyFont="1" applyAlignment="1" applyProtection="1">
      <alignment horizontal="center" vertical="center" wrapText="1" shrinkToFit="1"/>
      <protection locked="0"/>
    </xf>
    <xf numFmtId="0" fontId="12" fillId="0" borderId="0" xfId="0" applyFont="1" applyAlignment="1" applyProtection="1">
      <alignment horizontal="center" vertical="top" wrapText="1" shrinkToFit="1"/>
      <protection locked="0"/>
    </xf>
    <xf numFmtId="0" fontId="12" fillId="0" borderId="5" xfId="0" applyFont="1" applyBorder="1" applyAlignment="1" applyProtection="1">
      <alignment horizontal="center" vertical="top" wrapText="1" shrinkToFit="1"/>
      <protection locked="0"/>
    </xf>
    <xf numFmtId="0" fontId="28" fillId="0" borderId="5" xfId="0" applyFont="1" applyBorder="1" applyAlignment="1" applyProtection="1">
      <alignment horizontal="center" vertical="top" wrapText="1" shrinkToFit="1"/>
      <protection locked="0"/>
    </xf>
    <xf numFmtId="0" fontId="26" fillId="0" borderId="8" xfId="0" applyFont="1" applyBorder="1" applyAlignment="1" applyProtection="1">
      <alignment horizontal="center" vertical="center" wrapText="1" shrinkToFit="1"/>
      <protection locked="0"/>
    </xf>
    <xf numFmtId="169" fontId="63" fillId="0" borderId="7" xfId="0" applyNumberFormat="1" applyFont="1" applyBorder="1" applyAlignment="1">
      <alignment horizontal="left" indent="1"/>
    </xf>
    <xf numFmtId="1" fontId="27" fillId="0" borderId="5" xfId="0" applyNumberFormat="1" applyFont="1" applyBorder="1" applyAlignment="1">
      <alignment horizontal="center"/>
    </xf>
    <xf numFmtId="194" fontId="27" fillId="0" borderId="42" xfId="0" applyNumberFormat="1" applyFont="1" applyBorder="1" applyAlignment="1">
      <alignment horizontal="left"/>
    </xf>
    <xf numFmtId="0" fontId="63" fillId="0" borderId="0" xfId="0" applyFont="1"/>
    <xf numFmtId="169" fontId="63" fillId="0" borderId="60" xfId="0" applyNumberFormat="1" applyFont="1" applyBorder="1" applyAlignment="1">
      <alignment horizontal="left" indent="1"/>
    </xf>
    <xf numFmtId="169" fontId="27" fillId="0" borderId="7" xfId="0" applyNumberFormat="1" applyFont="1" applyBorder="1" applyAlignment="1">
      <alignment horizontal="left" indent="1"/>
    </xf>
    <xf numFmtId="0" fontId="27" fillId="0" borderId="0" xfId="0" applyFont="1"/>
    <xf numFmtId="0" fontId="64" fillId="0" borderId="0" xfId="0" applyFont="1"/>
    <xf numFmtId="0" fontId="41" fillId="0" borderId="22" xfId="0" applyFont="1" applyBorder="1"/>
    <xf numFmtId="0" fontId="41" fillId="0" borderId="4" xfId="0" applyFont="1" applyBorder="1"/>
    <xf numFmtId="169" fontId="33" fillId="0" borderId="0" xfId="0" applyNumberFormat="1" applyFont="1"/>
    <xf numFmtId="0" fontId="65" fillId="0" borderId="0" xfId="3" applyFont="1" applyProtection="1">
      <protection hidden="1"/>
    </xf>
    <xf numFmtId="210" fontId="8" fillId="0" borderId="0" xfId="3" applyNumberFormat="1" applyFont="1" applyProtection="1">
      <protection hidden="1"/>
    </xf>
    <xf numFmtId="0" fontId="16" fillId="12" borderId="53" xfId="0" applyFont="1" applyFill="1" applyBorder="1" applyAlignment="1" applyProtection="1">
      <alignment horizontal="center"/>
      <protection locked="0"/>
    </xf>
    <xf numFmtId="0" fontId="16" fillId="12" borderId="27" xfId="0" applyFont="1" applyFill="1" applyBorder="1" applyAlignment="1" applyProtection="1">
      <alignment horizontal="center"/>
      <protection locked="0"/>
    </xf>
    <xf numFmtId="0" fontId="16" fillId="12" borderId="55" xfId="0" applyFont="1" applyFill="1" applyBorder="1" applyAlignment="1" applyProtection="1">
      <alignment horizontal="center"/>
      <protection locked="0"/>
    </xf>
    <xf numFmtId="0" fontId="16" fillId="12" borderId="56" xfId="0" applyFont="1" applyFill="1" applyBorder="1" applyAlignment="1" applyProtection="1">
      <alignment horizontal="center"/>
      <protection locked="0"/>
    </xf>
    <xf numFmtId="0" fontId="16" fillId="12" borderId="91" xfId="0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2" fillId="15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16" borderId="0" xfId="0" applyFont="1" applyFill="1" applyAlignment="1">
      <alignment horizontal="center" vertical="center"/>
    </xf>
    <xf numFmtId="212" fontId="16" fillId="12" borderId="27" xfId="0" applyNumberFormat="1" applyFont="1" applyFill="1" applyBorder="1" applyAlignment="1" applyProtection="1">
      <alignment horizontal="center"/>
      <protection locked="0"/>
    </xf>
    <xf numFmtId="211" fontId="16" fillId="12" borderId="27" xfId="0" applyNumberFormat="1" applyFont="1" applyFill="1" applyBorder="1" applyAlignment="1" applyProtection="1">
      <alignment horizontal="center"/>
      <protection locked="0"/>
    </xf>
    <xf numFmtId="212" fontId="16" fillId="12" borderId="54" xfId="0" applyNumberFormat="1" applyFont="1" applyFill="1" applyBorder="1" applyAlignment="1" applyProtection="1">
      <alignment horizontal="center"/>
      <protection locked="0"/>
    </xf>
    <xf numFmtId="211" fontId="63" fillId="0" borderId="5" xfId="0" applyNumberFormat="1" applyFont="1" applyBorder="1" applyAlignment="1">
      <alignment horizontal="center"/>
    </xf>
    <xf numFmtId="0" fontId="14" fillId="0" borderId="31" xfId="0" applyFont="1" applyBorder="1" applyAlignment="1">
      <alignment vertical="center" wrapText="1"/>
    </xf>
    <xf numFmtId="0" fontId="6" fillId="0" borderId="32" xfId="0" applyFont="1" applyBorder="1" applyAlignment="1">
      <alignment vertical="center"/>
    </xf>
    <xf numFmtId="0" fontId="14" fillId="0" borderId="33" xfId="0" applyFont="1" applyBorder="1" applyAlignment="1">
      <alignment vertical="center" wrapText="1"/>
    </xf>
    <xf numFmtId="0" fontId="14" fillId="0" borderId="34" xfId="0" applyFont="1" applyBorder="1" applyAlignment="1">
      <alignment vertical="center"/>
    </xf>
    <xf numFmtId="212" fontId="10" fillId="0" borderId="35" xfId="0" applyNumberFormat="1" applyFont="1" applyBorder="1" applyAlignment="1">
      <alignment horizontal="center" vertical="center"/>
    </xf>
    <xf numFmtId="0" fontId="14" fillId="0" borderId="36" xfId="0" applyFont="1" applyBorder="1" applyAlignment="1">
      <alignment vertical="center"/>
    </xf>
    <xf numFmtId="0" fontId="10" fillId="0" borderId="57" xfId="0" applyFont="1" applyBorder="1" applyAlignment="1">
      <alignment horizontal="center" vertical="center"/>
    </xf>
    <xf numFmtId="173" fontId="8" fillId="0" borderId="0" xfId="0" applyNumberFormat="1" applyFont="1" applyAlignment="1">
      <alignment horizontal="right" vertical="center"/>
    </xf>
    <xf numFmtId="170" fontId="8" fillId="0" borderId="0" xfId="0" applyNumberFormat="1" applyFont="1" applyAlignment="1">
      <alignment horizontal="center" vertical="center"/>
    </xf>
    <xf numFmtId="0" fontId="15" fillId="0" borderId="94" xfId="0" applyFont="1" applyBorder="1" applyAlignment="1">
      <alignment vertical="center" wrapText="1"/>
    </xf>
    <xf numFmtId="169" fontId="66" fillId="0" borderId="60" xfId="0" applyNumberFormat="1" applyFont="1" applyBorder="1" applyAlignment="1">
      <alignment horizontal="center" vertical="center" wrapText="1"/>
    </xf>
    <xf numFmtId="0" fontId="16" fillId="3" borderId="91" xfId="0" applyFont="1" applyFill="1" applyBorder="1" applyAlignment="1" applyProtection="1">
      <alignment horizontal="center"/>
      <protection locked="0"/>
    </xf>
    <xf numFmtId="0" fontId="0" fillId="0" borderId="19" xfId="0" applyBorder="1"/>
    <xf numFmtId="0" fontId="0" fillId="0" borderId="0" xfId="0"/>
    <xf numFmtId="0" fontId="36" fillId="0" borderId="0" xfId="0" applyFont="1" applyAlignment="1">
      <alignment horizontal="center"/>
    </xf>
    <xf numFmtId="0" fontId="61" fillId="14" borderId="37" xfId="0" applyFont="1" applyFill="1" applyBorder="1" applyAlignment="1" applyProtection="1">
      <alignment horizontal="center" vertical="center"/>
      <protection locked="0"/>
    </xf>
    <xf numFmtId="0" fontId="61" fillId="14" borderId="59" xfId="0" applyFont="1" applyFill="1" applyBorder="1" applyAlignment="1" applyProtection="1">
      <alignment horizontal="center" vertical="center"/>
      <protection locked="0"/>
    </xf>
    <xf numFmtId="0" fontId="61" fillId="14" borderId="25" xfId="0" applyFont="1" applyFill="1" applyBorder="1" applyAlignment="1" applyProtection="1">
      <alignment horizontal="center" vertical="center"/>
      <protection locked="0"/>
    </xf>
    <xf numFmtId="0" fontId="61" fillId="14" borderId="30" xfId="0" applyFont="1" applyFill="1" applyBorder="1" applyAlignment="1" applyProtection="1">
      <alignment horizontal="center" vertical="center"/>
      <protection locked="0"/>
    </xf>
    <xf numFmtId="0" fontId="61" fillId="14" borderId="0" xfId="0" applyFont="1" applyFill="1" applyAlignment="1" applyProtection="1">
      <alignment horizontal="center" vertical="center"/>
      <protection locked="0"/>
    </xf>
    <xf numFmtId="0" fontId="61" fillId="14" borderId="38" xfId="0" applyFont="1" applyFill="1" applyBorder="1" applyAlignment="1" applyProtection="1">
      <alignment horizontal="center" vertical="center"/>
      <protection locked="0"/>
    </xf>
    <xf numFmtId="0" fontId="61" fillId="14" borderId="6" xfId="0" applyFont="1" applyFill="1" applyBorder="1" applyAlignment="1" applyProtection="1">
      <alignment horizontal="center" vertical="center"/>
      <protection locked="0"/>
    </xf>
    <xf numFmtId="0" fontId="61" fillId="14" borderId="58" xfId="0" applyFont="1" applyFill="1" applyBorder="1" applyAlignment="1" applyProtection="1">
      <alignment horizontal="center" vertical="center"/>
      <protection locked="0"/>
    </xf>
    <xf numFmtId="0" fontId="61" fillId="14" borderId="39" xfId="0" applyFont="1" applyFill="1" applyBorder="1" applyAlignment="1" applyProtection="1">
      <alignment horizontal="center" vertical="center"/>
      <protection locked="0"/>
    </xf>
    <xf numFmtId="0" fontId="27" fillId="7" borderId="44" xfId="0" applyFont="1" applyFill="1" applyBorder="1" applyAlignment="1" applyProtection="1">
      <alignment horizontal="center" vertical="center"/>
      <protection locked="0"/>
    </xf>
    <xf numFmtId="0" fontId="27" fillId="7" borderId="45" xfId="0" applyFont="1" applyFill="1" applyBorder="1" applyAlignment="1" applyProtection="1">
      <alignment horizontal="center" vertical="center"/>
      <protection locked="0"/>
    </xf>
    <xf numFmtId="0" fontId="27" fillId="7" borderId="42" xfId="0" applyFont="1" applyFill="1" applyBorder="1" applyAlignment="1" applyProtection="1">
      <alignment horizontal="center" vertical="center"/>
      <protection locked="0"/>
    </xf>
    <xf numFmtId="0" fontId="15" fillId="0" borderId="44" xfId="0" applyFont="1" applyBorder="1" applyAlignment="1">
      <alignment horizontal="left" vertical="center"/>
    </xf>
    <xf numFmtId="0" fontId="15" fillId="0" borderId="45" xfId="0" applyFont="1" applyBorder="1" applyAlignment="1">
      <alignment horizontal="left" vertical="center"/>
    </xf>
    <xf numFmtId="0" fontId="12" fillId="0" borderId="40" xfId="0" applyFont="1" applyBorder="1" applyAlignment="1" applyProtection="1">
      <alignment horizontal="center" vertical="center" wrapText="1" shrinkToFit="1"/>
      <protection locked="0"/>
    </xf>
    <xf numFmtId="0" fontId="12" fillId="0" borderId="28" xfId="0" applyFont="1" applyBorder="1" applyAlignment="1" applyProtection="1">
      <alignment horizontal="center" vertical="center" wrapText="1" shrinkToFit="1"/>
      <protection locked="0"/>
    </xf>
    <xf numFmtId="0" fontId="12" fillId="0" borderId="29" xfId="0" applyFont="1" applyBorder="1" applyAlignment="1" applyProtection="1">
      <alignment horizontal="center" vertical="center" wrapText="1" shrinkToFit="1"/>
      <protection locked="0"/>
    </xf>
    <xf numFmtId="211" fontId="12" fillId="0" borderId="40" xfId="0" applyNumberFormat="1" applyFont="1" applyBorder="1" applyAlignment="1" applyProtection="1">
      <alignment horizontal="center" vertical="center" wrapText="1" shrinkToFit="1"/>
      <protection locked="0"/>
    </xf>
    <xf numFmtId="211" fontId="12" fillId="0" borderId="28" xfId="0" applyNumberFormat="1" applyFont="1" applyBorder="1" applyAlignment="1" applyProtection="1">
      <alignment horizontal="center" vertical="center" wrapText="1" shrinkToFit="1"/>
      <protection locked="0"/>
    </xf>
    <xf numFmtId="211" fontId="12" fillId="0" borderId="164" xfId="0" applyNumberFormat="1" applyFont="1" applyBorder="1" applyAlignment="1" applyProtection="1">
      <alignment horizontal="center" vertical="center" wrapText="1" shrinkToFit="1"/>
      <protection locked="0"/>
    </xf>
    <xf numFmtId="0" fontId="12" fillId="0" borderId="164" xfId="0" applyFont="1" applyBorder="1" applyAlignment="1" applyProtection="1">
      <alignment horizontal="center" vertical="center" wrapText="1" shrinkToFit="1"/>
      <protection locked="0"/>
    </xf>
    <xf numFmtId="211" fontId="12" fillId="0" borderId="29" xfId="0" applyNumberFormat="1" applyFont="1" applyBorder="1" applyAlignment="1" applyProtection="1">
      <alignment horizontal="center" vertical="center" wrapText="1" shrinkToFit="1"/>
      <protection locked="0"/>
    </xf>
    <xf numFmtId="0" fontId="28" fillId="0" borderId="27" xfId="0" applyFont="1" applyBorder="1" applyAlignment="1" applyProtection="1">
      <alignment horizontal="center" vertical="center" wrapText="1" shrinkToFit="1"/>
      <protection locked="0"/>
    </xf>
    <xf numFmtId="0" fontId="28" fillId="0" borderId="63" xfId="0" applyFont="1" applyBorder="1" applyAlignment="1" applyProtection="1">
      <alignment horizontal="center" vertical="center" wrapText="1" shrinkToFit="1"/>
      <protection locked="0"/>
    </xf>
    <xf numFmtId="0" fontId="26" fillId="0" borderId="50" xfId="0" applyFont="1" applyBorder="1" applyAlignment="1" applyProtection="1">
      <alignment horizontal="center" vertical="center" wrapText="1" shrinkToFit="1"/>
      <protection locked="0"/>
    </xf>
    <xf numFmtId="0" fontId="15" fillId="0" borderId="46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25" fillId="6" borderId="37" xfId="0" applyFont="1" applyFill="1" applyBorder="1" applyAlignment="1">
      <alignment horizontal="center"/>
    </xf>
    <xf numFmtId="0" fontId="25" fillId="6" borderId="25" xfId="0" applyFont="1" applyFill="1" applyBorder="1" applyAlignment="1">
      <alignment horizontal="center"/>
    </xf>
    <xf numFmtId="0" fontId="28" fillId="0" borderId="37" xfId="0" applyFont="1" applyBorder="1" applyAlignment="1" applyProtection="1">
      <alignment horizontal="center" vertical="center" wrapText="1" shrinkToFit="1"/>
      <protection locked="0"/>
    </xf>
    <xf numFmtId="0" fontId="28" fillId="0" borderId="25" xfId="0" applyFont="1" applyBorder="1" applyAlignment="1" applyProtection="1">
      <alignment horizontal="center" vertical="center" wrapText="1" shrinkToFit="1"/>
      <protection locked="0"/>
    </xf>
    <xf numFmtId="0" fontId="28" fillId="0" borderId="30" xfId="0" applyFont="1" applyBorder="1" applyAlignment="1" applyProtection="1">
      <alignment horizontal="center" vertical="center" wrapText="1" shrinkToFit="1"/>
      <protection locked="0"/>
    </xf>
    <xf numFmtId="0" fontId="28" fillId="0" borderId="38" xfId="0" applyFont="1" applyBorder="1" applyAlignment="1" applyProtection="1">
      <alignment horizontal="center" vertical="center" wrapText="1" shrinkToFit="1"/>
      <protection locked="0"/>
    </xf>
    <xf numFmtId="0" fontId="28" fillId="0" borderId="6" xfId="0" applyFont="1" applyBorder="1" applyAlignment="1" applyProtection="1">
      <alignment horizontal="center" vertical="center" wrapText="1" shrinkToFit="1"/>
      <protection locked="0"/>
    </xf>
    <xf numFmtId="0" fontId="28" fillId="0" borderId="39" xfId="0" applyFont="1" applyBorder="1" applyAlignment="1" applyProtection="1">
      <alignment horizontal="center" vertical="center" wrapText="1" shrinkToFit="1"/>
      <protection locked="0"/>
    </xf>
    <xf numFmtId="0" fontId="27" fillId="0" borderId="167" xfId="0" applyFont="1" applyBorder="1" applyAlignment="1">
      <alignment horizontal="center" vertical="center" wrapText="1" shrinkToFit="1"/>
    </xf>
    <xf numFmtId="0" fontId="28" fillId="0" borderId="40" xfId="0" applyFont="1" applyBorder="1" applyAlignment="1" applyProtection="1">
      <alignment horizontal="center" vertical="center" wrapText="1" shrinkToFit="1"/>
      <protection locked="0"/>
    </xf>
    <xf numFmtId="0" fontId="28" fillId="0" borderId="28" xfId="0" applyFont="1" applyBorder="1" applyAlignment="1" applyProtection="1">
      <alignment horizontal="center" vertical="center" wrapText="1" shrinkToFit="1"/>
      <protection locked="0"/>
    </xf>
    <xf numFmtId="0" fontId="28" fillId="0" borderId="29" xfId="0" applyFont="1" applyBorder="1" applyAlignment="1" applyProtection="1">
      <alignment horizontal="center" vertical="center" wrapText="1" shrinkToFit="1"/>
      <protection locked="0"/>
    </xf>
    <xf numFmtId="0" fontId="27" fillId="0" borderId="168" xfId="0" applyFont="1" applyBorder="1" applyAlignment="1">
      <alignment horizontal="center" vertical="center" wrapText="1" shrinkToFit="1"/>
    </xf>
    <xf numFmtId="0" fontId="25" fillId="0" borderId="3" xfId="0" applyFont="1" applyBorder="1" applyAlignment="1">
      <alignment horizontal="center"/>
    </xf>
    <xf numFmtId="0" fontId="15" fillId="0" borderId="180" xfId="0" applyFont="1" applyBorder="1" applyAlignment="1">
      <alignment horizontal="left" vertical="center"/>
    </xf>
    <xf numFmtId="0" fontId="15" fillId="0" borderId="181" xfId="0" applyFont="1" applyBorder="1" applyAlignment="1">
      <alignment horizontal="left" vertical="center"/>
    </xf>
    <xf numFmtId="0" fontId="28" fillId="0" borderId="0" xfId="0" applyFont="1" applyAlignment="1" applyProtection="1">
      <alignment horizontal="left" wrapText="1" shrinkToFit="1"/>
      <protection locked="0"/>
    </xf>
    <xf numFmtId="14" fontId="12" fillId="0" borderId="40" xfId="0" applyNumberFormat="1" applyFont="1" applyBorder="1" applyAlignment="1" applyProtection="1">
      <alignment horizontal="center" vertical="center" wrapText="1" shrinkToFit="1"/>
      <protection locked="0"/>
    </xf>
    <xf numFmtId="212" fontId="33" fillId="0" borderId="15" xfId="0" applyNumberFormat="1" applyFont="1" applyBorder="1" applyAlignment="1">
      <alignment horizontal="center"/>
    </xf>
    <xf numFmtId="0" fontId="33" fillId="0" borderId="124" xfId="0" applyFont="1" applyBorder="1" applyAlignment="1">
      <alignment horizontal="center"/>
    </xf>
    <xf numFmtId="0" fontId="33" fillId="0" borderId="125" xfId="0" applyFont="1" applyBorder="1" applyAlignment="1">
      <alignment horizontal="center"/>
    </xf>
    <xf numFmtId="0" fontId="34" fillId="0" borderId="22" xfId="0" applyFont="1" applyBorder="1" applyAlignment="1">
      <alignment horizontal="left"/>
    </xf>
    <xf numFmtId="0" fontId="34" fillId="0" borderId="4" xfId="0" applyFont="1" applyBorder="1" applyAlignment="1">
      <alignment horizontal="left"/>
    </xf>
    <xf numFmtId="0" fontId="33" fillId="0" borderId="24" xfId="0" applyFont="1" applyBorder="1" applyAlignment="1">
      <alignment horizontal="center"/>
    </xf>
    <xf numFmtId="169" fontId="33" fillId="0" borderId="64" xfId="0" applyNumberFormat="1" applyFont="1" applyBorder="1" applyAlignment="1" applyProtection="1">
      <alignment horizontal="center"/>
      <protection locked="0"/>
    </xf>
    <xf numFmtId="0" fontId="33" fillId="0" borderId="65" xfId="0" applyFont="1" applyBorder="1" applyAlignment="1" applyProtection="1">
      <alignment horizontal="center"/>
      <protection locked="0"/>
    </xf>
    <xf numFmtId="169" fontId="33" fillId="0" borderId="65" xfId="0" applyNumberFormat="1" applyFont="1" applyBorder="1" applyAlignment="1" applyProtection="1">
      <alignment horizontal="center"/>
      <protection locked="0"/>
    </xf>
    <xf numFmtId="0" fontId="33" fillId="0" borderId="143" xfId="0" applyFont="1" applyBorder="1" applyAlignment="1">
      <alignment horizontal="center"/>
    </xf>
    <xf numFmtId="0" fontId="33" fillId="0" borderId="144" xfId="0" applyFont="1" applyBorder="1" applyAlignment="1">
      <alignment horizontal="center"/>
    </xf>
    <xf numFmtId="185" fontId="33" fillId="0" borderId="88" xfId="0" applyNumberFormat="1" applyFont="1" applyBorder="1" applyAlignment="1" applyProtection="1">
      <alignment horizontal="center"/>
      <protection locked="0"/>
    </xf>
    <xf numFmtId="185" fontId="33" fillId="0" borderId="70" xfId="0" applyNumberFormat="1" applyFont="1" applyBorder="1" applyAlignment="1" applyProtection="1">
      <alignment horizontal="center"/>
      <protection locked="0"/>
    </xf>
    <xf numFmtId="185" fontId="33" fillId="0" borderId="89" xfId="0" applyNumberFormat="1" applyFont="1" applyBorder="1" applyAlignment="1" applyProtection="1">
      <alignment horizontal="center"/>
      <protection locked="0"/>
    </xf>
    <xf numFmtId="0" fontId="33" fillId="0" borderId="100" xfId="0" applyFont="1" applyBorder="1"/>
    <xf numFmtId="0" fontId="34" fillId="0" borderId="4" xfId="0" applyFont="1" applyBorder="1"/>
    <xf numFmtId="0" fontId="33" fillId="0" borderId="4" xfId="0" applyFont="1" applyBorder="1"/>
    <xf numFmtId="0" fontId="33" fillId="0" borderId="104" xfId="0" applyFont="1" applyBorder="1" applyAlignment="1">
      <alignment horizontal="center"/>
    </xf>
    <xf numFmtId="0" fontId="49" fillId="0" borderId="4" xfId="0" applyFont="1" applyBorder="1" applyAlignment="1">
      <alignment horizontal="center"/>
    </xf>
    <xf numFmtId="172" fontId="33" fillId="0" borderId="131" xfId="0" applyNumberFormat="1" applyFont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3" fillId="0" borderId="110" xfId="0" applyFont="1" applyBorder="1" applyAlignment="1" applyProtection="1">
      <alignment horizontal="center"/>
      <protection locked="0"/>
    </xf>
    <xf numFmtId="0" fontId="33" fillId="0" borderId="3" xfId="0" applyFont="1" applyBorder="1" applyAlignment="1">
      <alignment horizontal="left"/>
    </xf>
    <xf numFmtId="0" fontId="33" fillId="0" borderId="15" xfId="0" applyFont="1" applyBorder="1" applyAlignment="1">
      <alignment horizontal="center"/>
    </xf>
    <xf numFmtId="0" fontId="34" fillId="0" borderId="0" xfId="0" applyFont="1" applyAlignment="1">
      <alignment horizontal="left"/>
    </xf>
    <xf numFmtId="0" fontId="33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3" fillId="0" borderId="107" xfId="0" applyFont="1" applyBorder="1" applyAlignment="1">
      <alignment horizontal="center"/>
    </xf>
    <xf numFmtId="0" fontId="33" fillId="7" borderId="44" xfId="0" applyFont="1" applyFill="1" applyBorder="1" applyAlignment="1" applyProtection="1">
      <alignment horizontal="center" vertical="center"/>
      <protection locked="0"/>
    </xf>
    <xf numFmtId="0" fontId="33" fillId="7" borderId="45" xfId="0" applyFont="1" applyFill="1" applyBorder="1" applyAlignment="1" applyProtection="1">
      <alignment horizontal="center" vertical="center"/>
      <protection locked="0"/>
    </xf>
    <xf numFmtId="0" fontId="33" fillId="7" borderId="42" xfId="0" applyFont="1" applyFill="1" applyBorder="1" applyAlignment="1" applyProtection="1">
      <alignment horizontal="center" vertical="center"/>
      <protection locked="0"/>
    </xf>
    <xf numFmtId="0" fontId="33" fillId="0" borderId="121" xfId="0" applyFont="1" applyBorder="1" applyAlignment="1">
      <alignment horizontal="center"/>
    </xf>
    <xf numFmtId="0" fontId="33" fillId="0" borderId="122" xfId="0" applyFont="1" applyBorder="1" applyAlignment="1">
      <alignment horizontal="center"/>
    </xf>
    <xf numFmtId="0" fontId="33" fillId="0" borderId="119" xfId="0" applyFont="1" applyBorder="1" applyAlignment="1">
      <alignment horizontal="center"/>
    </xf>
    <xf numFmtId="0" fontId="33" fillId="0" borderId="120" xfId="0" applyFont="1" applyBorder="1" applyAlignment="1">
      <alignment horizontal="center"/>
    </xf>
    <xf numFmtId="2" fontId="33" fillId="0" borderId="23" xfId="0" applyNumberFormat="1" applyFont="1" applyBorder="1" applyAlignment="1">
      <alignment horizontal="center"/>
    </xf>
    <xf numFmtId="2" fontId="33" fillId="0" borderId="24" xfId="0" applyNumberFormat="1" applyFont="1" applyBorder="1" applyAlignment="1">
      <alignment horizontal="center"/>
    </xf>
    <xf numFmtId="2" fontId="33" fillId="0" borderId="128" xfId="0" applyNumberFormat="1" applyFont="1" applyBorder="1" applyAlignment="1">
      <alignment horizontal="center"/>
    </xf>
    <xf numFmtId="202" fontId="33" fillId="0" borderId="112" xfId="0" applyNumberFormat="1" applyFont="1" applyBorder="1" applyAlignment="1" applyProtection="1">
      <alignment horizontal="center"/>
      <protection locked="0"/>
    </xf>
    <xf numFmtId="202" fontId="33" fillId="0" borderId="114" xfId="0" applyNumberFormat="1" applyFont="1" applyBorder="1" applyAlignment="1" applyProtection="1">
      <alignment horizontal="center"/>
      <protection locked="0"/>
    </xf>
    <xf numFmtId="2" fontId="33" fillId="0" borderId="9" xfId="0" applyNumberFormat="1" applyFont="1" applyBorder="1" applyAlignment="1" applyProtection="1">
      <alignment horizontal="center"/>
      <protection locked="0"/>
    </xf>
    <xf numFmtId="2" fontId="33" fillId="0" borderId="10" xfId="0" applyNumberFormat="1" applyFont="1" applyBorder="1" applyAlignment="1" applyProtection="1">
      <alignment horizontal="center"/>
      <protection locked="0"/>
    </xf>
    <xf numFmtId="2" fontId="33" fillId="0" borderId="105" xfId="0" applyNumberFormat="1" applyFont="1" applyBorder="1" applyAlignment="1" applyProtection="1">
      <alignment horizontal="center"/>
      <protection locked="0"/>
    </xf>
    <xf numFmtId="205" fontId="4" fillId="0" borderId="10" xfId="0" applyNumberFormat="1" applyFont="1" applyBorder="1" applyAlignment="1">
      <alignment horizontal="left"/>
    </xf>
    <xf numFmtId="205" fontId="4" fillId="0" borderId="148" xfId="0" applyNumberFormat="1" applyFont="1" applyBorder="1" applyAlignment="1">
      <alignment horizontal="left"/>
    </xf>
    <xf numFmtId="165" fontId="33" fillId="0" borderId="141" xfId="0" applyNumberFormat="1" applyFont="1" applyBorder="1" applyAlignment="1" applyProtection="1">
      <alignment horizontal="center"/>
      <protection locked="0"/>
    </xf>
    <xf numFmtId="165" fontId="33" fillId="0" borderId="142" xfId="0" applyNumberFormat="1" applyFont="1" applyBorder="1" applyAlignment="1" applyProtection="1">
      <alignment horizontal="center"/>
      <protection locked="0"/>
    </xf>
    <xf numFmtId="0" fontId="33" fillId="0" borderId="142" xfId="0" applyFont="1" applyBorder="1" applyAlignment="1" applyProtection="1">
      <alignment horizontal="center"/>
      <protection locked="0"/>
    </xf>
    <xf numFmtId="165" fontId="33" fillId="0" borderId="131" xfId="0" applyNumberFormat="1" applyFont="1" applyBorder="1" applyAlignment="1" applyProtection="1">
      <alignment horizontal="center"/>
      <protection locked="0"/>
    </xf>
    <xf numFmtId="165" fontId="33" fillId="0" borderId="15" xfId="0" applyNumberFormat="1" applyFont="1" applyBorder="1" applyAlignment="1" applyProtection="1">
      <alignment horizontal="center"/>
      <protection locked="0"/>
    </xf>
    <xf numFmtId="2" fontId="33" fillId="0" borderId="69" xfId="0" applyNumberFormat="1" applyFont="1" applyBorder="1" applyAlignment="1" applyProtection="1">
      <alignment horizontal="center"/>
      <protection locked="0"/>
    </xf>
    <xf numFmtId="2" fontId="4" fillId="0" borderId="103" xfId="0" applyNumberFormat="1" applyFont="1" applyBorder="1" applyAlignment="1">
      <alignment horizontal="right"/>
    </xf>
    <xf numFmtId="2" fontId="4" fillId="0" borderId="0" xfId="0" applyNumberFormat="1" applyFont="1" applyAlignment="1">
      <alignment horizontal="right"/>
    </xf>
    <xf numFmtId="165" fontId="33" fillId="0" borderId="126" xfId="0" applyNumberFormat="1" applyFont="1" applyBorder="1" applyAlignment="1" applyProtection="1">
      <alignment horizontal="center"/>
      <protection locked="0"/>
    </xf>
    <xf numFmtId="165" fontId="33" fillId="0" borderId="10" xfId="0" applyNumberFormat="1" applyFont="1" applyBorder="1" applyAlignment="1" applyProtection="1">
      <alignment horizontal="center"/>
      <protection locked="0"/>
    </xf>
    <xf numFmtId="0" fontId="33" fillId="0" borderId="73" xfId="0" applyFont="1" applyBorder="1" applyAlignment="1" applyProtection="1">
      <alignment horizontal="center"/>
      <protection locked="0"/>
    </xf>
    <xf numFmtId="0" fontId="33" fillId="0" borderId="3" xfId="0" applyFont="1" applyBorder="1"/>
    <xf numFmtId="2" fontId="4" fillId="0" borderId="108" xfId="0" applyNumberFormat="1" applyFont="1" applyBorder="1" applyAlignment="1">
      <alignment horizontal="right"/>
    </xf>
    <xf numFmtId="2" fontId="4" fillId="0" borderId="10" xfId="0" applyNumberFormat="1" applyFont="1" applyBorder="1" applyAlignment="1">
      <alignment horizontal="right"/>
    </xf>
    <xf numFmtId="2" fontId="4" fillId="0" borderId="109" xfId="0" applyNumberFormat="1" applyFont="1" applyBorder="1" applyAlignment="1">
      <alignment horizontal="right"/>
    </xf>
    <xf numFmtId="2" fontId="4" fillId="0" borderId="15" xfId="0" applyNumberFormat="1" applyFont="1" applyBorder="1" applyAlignment="1">
      <alignment horizontal="right"/>
    </xf>
    <xf numFmtId="191" fontId="3" fillId="0" borderId="126" xfId="0" applyNumberFormat="1" applyFont="1" applyBorder="1" applyProtection="1">
      <protection locked="0"/>
    </xf>
    <xf numFmtId="191" fontId="3" fillId="0" borderId="105" xfId="0" applyNumberFormat="1" applyFont="1" applyBorder="1" applyProtection="1">
      <protection locked="0"/>
    </xf>
    <xf numFmtId="0" fontId="43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93" fontId="33" fillId="0" borderId="109" xfId="0" applyNumberFormat="1" applyFont="1" applyBorder="1" applyAlignment="1" applyProtection="1">
      <alignment horizontal="center"/>
      <protection locked="0"/>
    </xf>
    <xf numFmtId="193" fontId="33" fillId="0" borderId="15" xfId="0" applyNumberFormat="1" applyFont="1" applyBorder="1" applyAlignment="1" applyProtection="1">
      <alignment horizontal="center"/>
      <protection locked="0"/>
    </xf>
    <xf numFmtId="0" fontId="41" fillId="0" borderId="4" xfId="0" applyFont="1" applyBorder="1" applyAlignment="1">
      <alignment horizontal="left"/>
    </xf>
    <xf numFmtId="2" fontId="33" fillId="0" borderId="23" xfId="0" applyNumberFormat="1" applyFont="1" applyBorder="1" applyAlignment="1" applyProtection="1">
      <alignment horizontal="center"/>
      <protection locked="0"/>
    </xf>
    <xf numFmtId="2" fontId="33" fillId="0" borderId="24" xfId="0" applyNumberFormat="1" applyFont="1" applyBorder="1" applyAlignment="1" applyProtection="1">
      <alignment horizontal="center"/>
      <protection locked="0"/>
    </xf>
    <xf numFmtId="2" fontId="33" fillId="0" borderId="128" xfId="0" applyNumberFormat="1" applyFont="1" applyBorder="1" applyAlignment="1" applyProtection="1">
      <alignment horizontal="center"/>
      <protection locked="0"/>
    </xf>
    <xf numFmtId="0" fontId="16" fillId="0" borderId="129" xfId="0" applyFont="1" applyBorder="1" applyAlignment="1">
      <alignment horizontal="center"/>
    </xf>
    <xf numFmtId="0" fontId="16" fillId="0" borderId="130" xfId="0" applyFont="1" applyBorder="1" applyAlignment="1">
      <alignment horizontal="center"/>
    </xf>
    <xf numFmtId="172" fontId="34" fillId="0" borderId="141" xfId="0" applyNumberFormat="1" applyFont="1" applyBorder="1" applyAlignment="1">
      <alignment horizontal="center"/>
    </xf>
    <xf numFmtId="172" fontId="34" fillId="0" borderId="142" xfId="0" applyNumberFormat="1" applyFont="1" applyBorder="1" applyAlignment="1">
      <alignment horizontal="center"/>
    </xf>
    <xf numFmtId="0" fontId="43" fillId="0" borderId="72" xfId="0" applyFont="1" applyBorder="1" applyAlignment="1">
      <alignment horizontal="center"/>
    </xf>
    <xf numFmtId="0" fontId="33" fillId="0" borderId="100" xfId="0" applyFont="1" applyBorder="1" applyAlignment="1">
      <alignment horizontal="left"/>
    </xf>
    <xf numFmtId="10" fontId="33" fillId="0" borderId="150" xfId="0" applyNumberFormat="1" applyFont="1" applyBorder="1" applyProtection="1">
      <protection locked="0"/>
    </xf>
    <xf numFmtId="10" fontId="33" fillId="0" borderId="11" xfId="0" applyNumberFormat="1" applyFont="1" applyBorder="1" applyProtection="1">
      <protection locked="0"/>
    </xf>
    <xf numFmtId="177" fontId="4" fillId="0" borderId="74" xfId="0" applyNumberFormat="1" applyFont="1" applyBorder="1" applyAlignment="1">
      <alignment horizontal="left"/>
    </xf>
    <xf numFmtId="177" fontId="4" fillId="0" borderId="140" xfId="0" applyNumberFormat="1" applyFont="1" applyBorder="1" applyAlignment="1">
      <alignment horizontal="left"/>
    </xf>
    <xf numFmtId="1" fontId="33" fillId="0" borderId="135" xfId="0" applyNumberFormat="1" applyFont="1" applyBorder="1" applyAlignment="1" applyProtection="1">
      <alignment horizontal="center"/>
      <protection locked="0"/>
    </xf>
    <xf numFmtId="1" fontId="33" fillId="0" borderId="24" xfId="0" applyNumberFormat="1" applyFont="1" applyBorder="1" applyAlignment="1" applyProtection="1">
      <alignment horizontal="center"/>
      <protection locked="0"/>
    </xf>
    <xf numFmtId="190" fontId="33" fillId="7" borderId="44" xfId="0" applyNumberFormat="1" applyFont="1" applyFill="1" applyBorder="1" applyAlignment="1" applyProtection="1">
      <alignment horizontal="center" vertical="center"/>
      <protection locked="0"/>
    </xf>
    <xf numFmtId="190" fontId="33" fillId="7" borderId="45" xfId="0" applyNumberFormat="1" applyFont="1" applyFill="1" applyBorder="1" applyAlignment="1" applyProtection="1">
      <alignment horizontal="center" vertical="center"/>
      <protection locked="0"/>
    </xf>
    <xf numFmtId="190" fontId="33" fillId="7" borderId="42" xfId="0" applyNumberFormat="1" applyFont="1" applyFill="1" applyBorder="1" applyAlignment="1" applyProtection="1">
      <alignment horizontal="center" vertical="center"/>
      <protection locked="0"/>
    </xf>
    <xf numFmtId="0" fontId="41" fillId="0" borderId="22" xfId="0" applyFont="1" applyBorder="1" applyAlignment="1">
      <alignment horizontal="left"/>
    </xf>
    <xf numFmtId="0" fontId="37" fillId="0" borderId="4" xfId="0" applyFont="1" applyBorder="1" applyAlignment="1">
      <alignment horizontal="left"/>
    </xf>
    <xf numFmtId="0" fontId="33" fillId="0" borderId="133" xfId="0" applyFont="1" applyBorder="1" applyAlignment="1" applyProtection="1">
      <alignment horizontal="center"/>
      <protection locked="0"/>
    </xf>
    <xf numFmtId="0" fontId="33" fillId="0" borderId="111" xfId="0" applyFont="1" applyBorder="1" applyAlignment="1" applyProtection="1">
      <alignment horizontal="center"/>
      <protection locked="0"/>
    </xf>
    <xf numFmtId="0" fontId="33" fillId="0" borderId="134" xfId="0" applyFont="1" applyBorder="1" applyAlignment="1" applyProtection="1">
      <alignment horizontal="center"/>
      <protection locked="0"/>
    </xf>
    <xf numFmtId="0" fontId="33" fillId="0" borderId="116" xfId="0" applyFont="1" applyBorder="1" applyAlignment="1">
      <alignment horizontal="left"/>
    </xf>
    <xf numFmtId="0" fontId="16" fillId="0" borderId="100" xfId="0" applyFont="1" applyBorder="1" applyAlignment="1">
      <alignment horizontal="left"/>
    </xf>
    <xf numFmtId="0" fontId="0" fillId="0" borderId="100" xfId="0" applyBorder="1" applyAlignment="1">
      <alignment horizontal="left"/>
    </xf>
    <xf numFmtId="0" fontId="0" fillId="0" borderId="127" xfId="0" applyBorder="1" applyAlignment="1">
      <alignment horizontal="left"/>
    </xf>
    <xf numFmtId="0" fontId="33" fillId="0" borderId="127" xfId="0" applyFont="1" applyBorder="1" applyAlignment="1">
      <alignment horizontal="left"/>
    </xf>
    <xf numFmtId="172" fontId="33" fillId="0" borderId="126" xfId="0" applyNumberFormat="1" applyFont="1" applyBorder="1" applyAlignment="1" applyProtection="1">
      <alignment horizontal="center"/>
      <protection locked="0"/>
    </xf>
    <xf numFmtId="0" fontId="33" fillId="0" borderId="10" xfId="0" applyFont="1" applyBorder="1" applyAlignment="1" applyProtection="1">
      <alignment horizontal="center"/>
      <protection locked="0"/>
    </xf>
    <xf numFmtId="198" fontId="33" fillId="0" borderId="135" xfId="0" applyNumberFormat="1" applyFont="1" applyBorder="1" applyAlignment="1" applyProtection="1">
      <alignment horizontal="center"/>
      <protection locked="0"/>
    </xf>
    <xf numFmtId="198" fontId="33" fillId="0" borderId="24" xfId="0" applyNumberFormat="1" applyFont="1" applyBorder="1" applyAlignment="1" applyProtection="1">
      <alignment horizontal="center"/>
      <protection locked="0"/>
    </xf>
    <xf numFmtId="0" fontId="34" fillId="0" borderId="100" xfId="0" applyFont="1" applyBorder="1" applyAlignment="1">
      <alignment horizontal="left"/>
    </xf>
    <xf numFmtId="0" fontId="33" fillId="0" borderId="125" xfId="0" applyFont="1" applyBorder="1" applyAlignment="1">
      <alignment horizontal="left"/>
    </xf>
    <xf numFmtId="192" fontId="33" fillId="0" borderId="131" xfId="0" applyNumberFormat="1" applyFont="1" applyBorder="1" applyAlignment="1" applyProtection="1">
      <alignment horizontal="center"/>
      <protection locked="0"/>
    </xf>
    <xf numFmtId="192" fontId="33" fillId="0" borderId="15" xfId="0" applyNumberFormat="1" applyFont="1" applyBorder="1" applyAlignment="1" applyProtection="1">
      <alignment horizontal="center"/>
      <protection locked="0"/>
    </xf>
    <xf numFmtId="192" fontId="33" fillId="0" borderId="106" xfId="0" applyNumberFormat="1" applyFont="1" applyBorder="1" applyAlignment="1" applyProtection="1">
      <alignment horizontal="center"/>
      <protection locked="0"/>
    </xf>
    <xf numFmtId="0" fontId="33" fillId="0" borderId="126" xfId="0" applyFont="1" applyBorder="1" applyAlignment="1">
      <alignment horizontal="center"/>
    </xf>
    <xf numFmtId="0" fontId="33" fillId="0" borderId="10" xfId="0" applyFont="1" applyBorder="1" applyAlignment="1">
      <alignment horizontal="center"/>
    </xf>
    <xf numFmtId="0" fontId="33" fillId="0" borderId="105" xfId="0" applyFont="1" applyBorder="1" applyAlignment="1">
      <alignment horizontal="center"/>
    </xf>
    <xf numFmtId="0" fontId="33" fillId="0" borderId="126" xfId="0" applyFont="1" applyBorder="1" applyAlignment="1" applyProtection="1">
      <alignment horizontal="center"/>
      <protection locked="0"/>
    </xf>
    <xf numFmtId="0" fontId="33" fillId="0" borderId="105" xfId="0" applyFont="1" applyBorder="1" applyAlignment="1" applyProtection="1">
      <alignment horizontal="center"/>
      <protection locked="0"/>
    </xf>
    <xf numFmtId="182" fontId="33" fillId="0" borderId="133" xfId="0" applyNumberFormat="1" applyFont="1" applyBorder="1" applyAlignment="1" applyProtection="1">
      <alignment horizontal="center"/>
      <protection locked="0"/>
    </xf>
    <xf numFmtId="182" fontId="33" fillId="0" borderId="157" xfId="0" applyNumberFormat="1" applyFont="1" applyBorder="1" applyAlignment="1" applyProtection="1">
      <alignment horizontal="center"/>
      <protection locked="0"/>
    </xf>
    <xf numFmtId="188" fontId="33" fillId="0" borderId="131" xfId="0" applyNumberFormat="1" applyFont="1" applyBorder="1" applyAlignment="1" applyProtection="1">
      <alignment horizontal="center"/>
      <protection locked="0"/>
    </xf>
    <xf numFmtId="188" fontId="33" fillId="0" borderId="15" xfId="0" applyNumberFormat="1" applyFont="1" applyBorder="1" applyAlignment="1" applyProtection="1">
      <alignment horizontal="center"/>
      <protection locked="0"/>
    </xf>
    <xf numFmtId="188" fontId="33" fillId="0" borderId="106" xfId="0" applyNumberFormat="1" applyFont="1" applyBorder="1" applyAlignment="1" applyProtection="1">
      <alignment horizontal="center"/>
      <protection locked="0"/>
    </xf>
    <xf numFmtId="0" fontId="33" fillId="0" borderId="66" xfId="0" applyFont="1" applyBorder="1"/>
    <xf numFmtId="0" fontId="33" fillId="0" borderId="131" xfId="0" applyFont="1" applyBorder="1" applyAlignment="1" applyProtection="1">
      <alignment horizontal="center"/>
      <protection locked="0"/>
    </xf>
    <xf numFmtId="170" fontId="33" fillId="0" borderId="10" xfId="0" applyNumberFormat="1" applyFont="1" applyBorder="1" applyAlignment="1">
      <alignment horizontal="center"/>
    </xf>
    <xf numFmtId="170" fontId="33" fillId="0" borderId="105" xfId="0" applyNumberFormat="1" applyFont="1" applyBorder="1" applyAlignment="1">
      <alignment horizontal="center"/>
    </xf>
    <xf numFmtId="193" fontId="33" fillId="0" borderId="112" xfId="0" applyNumberFormat="1" applyFont="1" applyBorder="1" applyAlignment="1" applyProtection="1">
      <alignment horizontal="center"/>
      <protection locked="0"/>
    </xf>
    <xf numFmtId="193" fontId="33" fillId="0" borderId="113" xfId="0" applyNumberFormat="1" applyFont="1" applyBorder="1" applyAlignment="1" applyProtection="1">
      <alignment horizontal="center"/>
      <protection locked="0"/>
    </xf>
    <xf numFmtId="193" fontId="33" fillId="0" borderId="114" xfId="0" applyNumberFormat="1" applyFont="1" applyBorder="1" applyAlignment="1" applyProtection="1">
      <alignment horizontal="center"/>
      <protection locked="0"/>
    </xf>
    <xf numFmtId="193" fontId="33" fillId="0" borderId="10" xfId="0" applyNumberFormat="1" applyFont="1" applyBorder="1" applyAlignment="1" applyProtection="1">
      <alignment horizontal="center"/>
      <protection locked="0"/>
    </xf>
    <xf numFmtId="166" fontId="33" fillId="0" borderId="131" xfId="0" applyNumberFormat="1" applyFont="1" applyBorder="1" applyAlignment="1" applyProtection="1">
      <alignment horizontal="center"/>
      <protection locked="0"/>
    </xf>
    <xf numFmtId="166" fontId="33" fillId="0" borderId="15" xfId="0" applyNumberFormat="1" applyFont="1" applyBorder="1" applyAlignment="1" applyProtection="1">
      <alignment horizontal="center"/>
      <protection locked="0"/>
    </xf>
    <xf numFmtId="0" fontId="33" fillId="0" borderId="106" xfId="0" applyFont="1" applyBorder="1" applyAlignment="1" applyProtection="1">
      <alignment horizontal="center"/>
      <protection locked="0"/>
    </xf>
    <xf numFmtId="0" fontId="33" fillId="0" borderId="127" xfId="0" applyFont="1" applyBorder="1"/>
    <xf numFmtId="0" fontId="33" fillId="0" borderId="61" xfId="0" applyFont="1" applyBorder="1"/>
    <xf numFmtId="0" fontId="41" fillId="0" borderId="173" xfId="0" applyFont="1" applyBorder="1" applyAlignment="1">
      <alignment horizontal="left"/>
    </xf>
    <xf numFmtId="0" fontId="41" fillId="0" borderId="146" xfId="0" applyFont="1" applyBorder="1" applyAlignment="1">
      <alignment horizontal="left"/>
    </xf>
    <xf numFmtId="189" fontId="33" fillId="0" borderId="109" xfId="0" applyNumberFormat="1" applyFont="1" applyBorder="1" applyAlignment="1" applyProtection="1">
      <alignment horizontal="center"/>
      <protection locked="0"/>
    </xf>
    <xf numFmtId="189" fontId="33" fillId="0" borderId="15" xfId="0" applyNumberFormat="1" applyFont="1" applyBorder="1" applyAlignment="1" applyProtection="1">
      <alignment horizontal="center"/>
      <protection locked="0"/>
    </xf>
    <xf numFmtId="189" fontId="33" fillId="0" borderId="110" xfId="0" applyNumberFormat="1" applyFont="1" applyBorder="1" applyAlignment="1" applyProtection="1">
      <alignment horizontal="center"/>
      <protection locked="0"/>
    </xf>
    <xf numFmtId="0" fontId="33" fillId="0" borderId="66" xfId="0" applyFont="1" applyBorder="1" applyAlignment="1">
      <alignment horizontal="left"/>
    </xf>
    <xf numFmtId="165" fontId="33" fillId="0" borderId="21" xfId="0" applyNumberFormat="1" applyFont="1" applyBorder="1" applyAlignment="1" applyProtection="1">
      <alignment horizontal="center"/>
      <protection locked="0"/>
    </xf>
    <xf numFmtId="165" fontId="33" fillId="0" borderId="106" xfId="0" applyNumberFormat="1" applyFont="1" applyBorder="1" applyAlignment="1" applyProtection="1">
      <alignment horizontal="center"/>
      <protection locked="0"/>
    </xf>
    <xf numFmtId="166" fontId="33" fillId="0" borderId="126" xfId="0" applyNumberFormat="1" applyFont="1" applyBorder="1" applyAlignment="1" applyProtection="1">
      <alignment horizontal="center"/>
      <protection locked="0"/>
    </xf>
    <xf numFmtId="166" fontId="33" fillId="0" borderId="10" xfId="0" applyNumberFormat="1" applyFont="1" applyBorder="1" applyAlignment="1" applyProtection="1">
      <alignment horizontal="center"/>
      <protection locked="0"/>
    </xf>
    <xf numFmtId="166" fontId="33" fillId="0" borderId="73" xfId="0" applyNumberFormat="1" applyFont="1" applyBorder="1" applyAlignment="1" applyProtection="1">
      <alignment horizontal="center"/>
      <protection locked="0"/>
    </xf>
    <xf numFmtId="165" fontId="33" fillId="0" borderId="9" xfId="0" applyNumberFormat="1" applyFont="1" applyBorder="1" applyAlignment="1" applyProtection="1">
      <alignment horizontal="center"/>
      <protection locked="0"/>
    </xf>
    <xf numFmtId="165" fontId="33" fillId="0" borderId="105" xfId="0" applyNumberFormat="1" applyFont="1" applyBorder="1" applyAlignment="1" applyProtection="1">
      <alignment horizontal="center"/>
      <protection locked="0"/>
    </xf>
    <xf numFmtId="204" fontId="4" fillId="0" borderId="10" xfId="0" applyNumberFormat="1" applyFont="1" applyBorder="1" applyAlignment="1">
      <alignment horizontal="left"/>
    </xf>
    <xf numFmtId="204" fontId="4" fillId="0" borderId="105" xfId="0" applyNumberFormat="1" applyFont="1" applyBorder="1" applyAlignment="1">
      <alignment horizontal="left"/>
    </xf>
    <xf numFmtId="2" fontId="4" fillId="0" borderId="126" xfId="0" applyNumberFormat="1" applyFont="1" applyBorder="1" applyAlignment="1">
      <alignment horizontal="right"/>
    </xf>
    <xf numFmtId="0" fontId="33" fillId="0" borderId="76" xfId="0" applyFont="1" applyBorder="1"/>
    <xf numFmtId="169" fontId="33" fillId="0" borderId="75" xfId="0" applyNumberFormat="1" applyFont="1" applyBorder="1" applyAlignment="1" applyProtection="1">
      <alignment horizontal="center"/>
      <protection locked="0"/>
    </xf>
    <xf numFmtId="0" fontId="33" fillId="0" borderId="76" xfId="0" applyFont="1" applyBorder="1" applyAlignment="1" applyProtection="1">
      <alignment horizontal="center"/>
      <protection locked="0"/>
    </xf>
    <xf numFmtId="176" fontId="33" fillId="0" borderId="15" xfId="0" applyNumberFormat="1" applyFont="1" applyBorder="1" applyAlignment="1" applyProtection="1">
      <alignment horizontal="center"/>
      <protection locked="0"/>
    </xf>
    <xf numFmtId="176" fontId="33" fillId="0" borderId="106" xfId="0" applyNumberFormat="1" applyFont="1" applyBorder="1" applyAlignment="1" applyProtection="1">
      <alignment horizontal="center"/>
      <protection locked="0"/>
    </xf>
    <xf numFmtId="0" fontId="33" fillId="0" borderId="65" xfId="0" applyFont="1" applyBorder="1"/>
    <xf numFmtId="176" fontId="34" fillId="0" borderId="4" xfId="0" applyNumberFormat="1" applyFont="1" applyBorder="1" applyAlignment="1">
      <alignment horizontal="center"/>
    </xf>
    <xf numFmtId="181" fontId="33" fillId="0" borderId="10" xfId="0" applyNumberFormat="1" applyFont="1" applyBorder="1" applyAlignment="1">
      <alignment horizontal="center"/>
    </xf>
    <xf numFmtId="0" fontId="33" fillId="0" borderId="14" xfId="0" applyFont="1" applyBorder="1" applyAlignment="1">
      <alignment horizontal="right"/>
    </xf>
    <xf numFmtId="0" fontId="33" fillId="0" borderId="0" xfId="0" applyFont="1" applyAlignment="1">
      <alignment horizontal="right"/>
    </xf>
    <xf numFmtId="0" fontId="8" fillId="0" borderId="27" xfId="0" applyFont="1" applyBorder="1" applyAlignment="1" applyProtection="1">
      <alignment horizontal="center" vertical="center"/>
      <protection locked="0"/>
    </xf>
    <xf numFmtId="0" fontId="16" fillId="0" borderId="22" xfId="0" applyFont="1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12" xfId="0" applyBorder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13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5" xfId="0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23" fillId="0" borderId="58" xfId="0" applyFont="1" applyBorder="1" applyAlignment="1">
      <alignment horizontal="center" vertical="center"/>
    </xf>
    <xf numFmtId="0" fontId="41" fillId="0" borderId="22" xfId="0" applyFont="1" applyBorder="1"/>
    <xf numFmtId="0" fontId="41" fillId="0" borderId="4" xfId="0" applyFont="1" applyBorder="1"/>
    <xf numFmtId="191" fontId="33" fillId="0" borderId="97" xfId="0" applyNumberFormat="1" applyFont="1" applyBorder="1" applyAlignment="1" applyProtection="1">
      <alignment horizontal="center"/>
      <protection locked="0"/>
    </xf>
    <xf numFmtId="191" fontId="33" fillId="0" borderId="99" xfId="0" applyNumberFormat="1" applyFont="1" applyBorder="1" applyAlignment="1" applyProtection="1">
      <alignment horizontal="center"/>
      <protection locked="0"/>
    </xf>
    <xf numFmtId="0" fontId="33" fillId="0" borderId="61" xfId="0" applyFont="1" applyBorder="1" applyAlignment="1">
      <alignment horizontal="left"/>
    </xf>
    <xf numFmtId="0" fontId="33" fillId="0" borderId="115" xfId="0" applyFont="1" applyBorder="1" applyAlignment="1">
      <alignment horizontal="left"/>
    </xf>
    <xf numFmtId="1" fontId="33" fillId="7" borderId="44" xfId="0" applyNumberFormat="1" applyFont="1" applyFill="1" applyBorder="1" applyAlignment="1" applyProtection="1">
      <alignment horizontal="center" vertical="center"/>
      <protection locked="0"/>
    </xf>
    <xf numFmtId="1" fontId="33" fillId="7" borderId="45" xfId="0" applyNumberFormat="1" applyFont="1" applyFill="1" applyBorder="1" applyAlignment="1" applyProtection="1">
      <alignment horizontal="center" vertical="center"/>
      <protection locked="0"/>
    </xf>
    <xf numFmtId="1" fontId="33" fillId="7" borderId="42" xfId="0" applyNumberFormat="1" applyFont="1" applyFill="1" applyBorder="1" applyAlignment="1" applyProtection="1">
      <alignment horizontal="center" vertical="center"/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0" fontId="8" fillId="0" borderId="51" xfId="0" applyFont="1" applyBorder="1" applyAlignment="1" applyProtection="1">
      <alignment horizontal="center" vertical="center"/>
      <protection locked="0"/>
    </xf>
    <xf numFmtId="0" fontId="8" fillId="0" borderId="5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>
      <alignment horizontal="center" vertical="center"/>
    </xf>
    <xf numFmtId="0" fontId="8" fillId="0" borderId="118" xfId="0" applyFont="1" applyBorder="1" applyAlignment="1">
      <alignment horizontal="center" vertical="center"/>
    </xf>
    <xf numFmtId="169" fontId="33" fillId="0" borderId="101" xfId="0" applyNumberFormat="1" applyFont="1" applyBorder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2" fontId="4" fillId="0" borderId="131" xfId="0" applyNumberFormat="1" applyFont="1" applyBorder="1" applyAlignment="1">
      <alignment horizontal="right"/>
    </xf>
    <xf numFmtId="169" fontId="33" fillId="0" borderId="100" xfId="0" applyNumberFormat="1" applyFont="1" applyBorder="1" applyAlignment="1" applyProtection="1">
      <alignment horizontal="center"/>
      <protection locked="0"/>
    </xf>
    <xf numFmtId="0" fontId="33" fillId="0" borderId="108" xfId="0" applyFont="1" applyBorder="1" applyAlignment="1" applyProtection="1">
      <alignment horizontal="center"/>
      <protection locked="0"/>
    </xf>
    <xf numFmtId="0" fontId="23" fillId="0" borderId="0" xfId="0" applyFont="1" applyAlignment="1">
      <alignment horizontal="left" vertical="center"/>
    </xf>
    <xf numFmtId="0" fontId="14" fillId="0" borderId="4" xfId="0" applyFont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34" fillId="0" borderId="14" xfId="0" applyFont="1" applyBorder="1" applyAlignment="1">
      <alignment horizontal="left"/>
    </xf>
    <xf numFmtId="0" fontId="33" fillId="0" borderId="1" xfId="0" applyFont="1" applyBorder="1" applyAlignment="1">
      <alignment horizontal="left"/>
    </xf>
    <xf numFmtId="0" fontId="33" fillId="0" borderId="136" xfId="0" applyFont="1" applyBorder="1" applyAlignment="1">
      <alignment horizontal="left"/>
    </xf>
    <xf numFmtId="0" fontId="33" fillId="0" borderId="138" xfId="0" applyFont="1" applyBorder="1" applyAlignment="1">
      <alignment horizontal="left"/>
    </xf>
    <xf numFmtId="0" fontId="33" fillId="0" borderId="137" xfId="0" applyFont="1" applyBorder="1" applyAlignment="1">
      <alignment horizontal="left"/>
    </xf>
    <xf numFmtId="0" fontId="23" fillId="0" borderId="49" xfId="0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left"/>
    </xf>
    <xf numFmtId="0" fontId="2" fillId="0" borderId="45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5" xfId="0" applyBorder="1"/>
    <xf numFmtId="172" fontId="33" fillId="0" borderId="10" xfId="0" applyNumberFormat="1" applyFont="1" applyBorder="1" applyAlignment="1" applyProtection="1">
      <alignment horizontal="center"/>
      <protection locked="0"/>
    </xf>
    <xf numFmtId="0" fontId="33" fillId="0" borderId="131" xfId="0" applyFont="1" applyBorder="1" applyAlignment="1" applyProtection="1">
      <alignment horizontal="right"/>
      <protection locked="0"/>
    </xf>
    <xf numFmtId="0" fontId="33" fillId="0" borderId="15" xfId="0" applyFont="1" applyBorder="1" applyAlignment="1" applyProtection="1">
      <alignment horizontal="right"/>
      <protection locked="0"/>
    </xf>
    <xf numFmtId="0" fontId="16" fillId="0" borderId="22" xfId="0" applyFont="1" applyBorder="1" applyAlignment="1" applyProtection="1">
      <alignment horizontal="left" vertical="top"/>
      <protection locked="0"/>
    </xf>
    <xf numFmtId="0" fontId="43" fillId="0" borderId="0" xfId="0" applyFont="1"/>
    <xf numFmtId="0" fontId="43" fillId="0" borderId="4" xfId="0" applyFont="1" applyBorder="1"/>
    <xf numFmtId="0" fontId="33" fillId="0" borderId="108" xfId="0" applyFont="1" applyBorder="1" applyAlignment="1" applyProtection="1">
      <alignment horizontal="right"/>
      <protection locked="0"/>
    </xf>
    <xf numFmtId="0" fontId="33" fillId="0" borderId="10" xfId="0" applyFont="1" applyBorder="1" applyAlignment="1" applyProtection="1">
      <alignment horizontal="right"/>
      <protection locked="0"/>
    </xf>
    <xf numFmtId="0" fontId="34" fillId="0" borderId="65" xfId="0" applyFont="1" applyBorder="1" applyAlignment="1">
      <alignment horizontal="left"/>
    </xf>
    <xf numFmtId="172" fontId="34" fillId="0" borderId="15" xfId="0" applyNumberFormat="1" applyFont="1" applyBorder="1" applyAlignment="1" applyProtection="1">
      <alignment horizontal="center"/>
      <protection locked="0"/>
    </xf>
    <xf numFmtId="193" fontId="33" fillId="0" borderId="112" xfId="0" applyNumberFormat="1" applyFont="1" applyBorder="1" applyAlignment="1">
      <alignment horizontal="center"/>
    </xf>
    <xf numFmtId="193" fontId="33" fillId="0" borderId="113" xfId="0" applyNumberFormat="1" applyFont="1" applyBorder="1" applyAlignment="1">
      <alignment horizontal="center"/>
    </xf>
    <xf numFmtId="193" fontId="33" fillId="0" borderId="114" xfId="0" applyNumberFormat="1" applyFont="1" applyBorder="1" applyAlignment="1">
      <alignment horizontal="center"/>
    </xf>
    <xf numFmtId="10" fontId="33" fillId="0" borderId="158" xfId="0" applyNumberFormat="1" applyFont="1" applyBorder="1" applyAlignment="1" applyProtection="1">
      <alignment horizontal="center"/>
      <protection locked="0"/>
    </xf>
    <xf numFmtId="10" fontId="33" fillId="0" borderId="11" xfId="0" applyNumberFormat="1" applyFont="1" applyBorder="1" applyAlignment="1" applyProtection="1">
      <alignment horizontal="center"/>
      <protection locked="0"/>
    </xf>
    <xf numFmtId="10" fontId="33" fillId="0" borderId="159" xfId="0" applyNumberFormat="1" applyFont="1" applyBorder="1" applyAlignment="1" applyProtection="1">
      <alignment horizontal="center"/>
      <protection locked="0"/>
    </xf>
    <xf numFmtId="182" fontId="33" fillId="0" borderId="132" xfId="0" applyNumberFormat="1" applyFont="1" applyBorder="1" applyAlignment="1" applyProtection="1">
      <alignment horizontal="center"/>
      <protection locked="0"/>
    </xf>
    <xf numFmtId="182" fontId="33" fillId="0" borderId="68" xfId="0" applyNumberFormat="1" applyFont="1" applyBorder="1" applyAlignment="1" applyProtection="1">
      <alignment horizontal="center"/>
      <protection locked="0"/>
    </xf>
    <xf numFmtId="0" fontId="33" fillId="0" borderId="160" xfId="0" applyFont="1" applyBorder="1" applyAlignment="1">
      <alignment horizontal="left"/>
    </xf>
    <xf numFmtId="0" fontId="33" fillId="0" borderId="129" xfId="0" applyFont="1" applyBorder="1" applyAlignment="1">
      <alignment horizontal="left"/>
    </xf>
    <xf numFmtId="191" fontId="33" fillId="0" borderId="104" xfId="0" applyNumberFormat="1" applyFont="1" applyBorder="1" applyAlignment="1" applyProtection="1">
      <alignment horizontal="center"/>
      <protection locked="0"/>
    </xf>
    <xf numFmtId="0" fontId="33" fillId="0" borderId="126" xfId="0" applyFont="1" applyBorder="1" applyAlignment="1" applyProtection="1">
      <alignment horizontal="right"/>
      <protection locked="0"/>
    </xf>
    <xf numFmtId="0" fontId="10" fillId="0" borderId="27" xfId="0" applyFont="1" applyBorder="1" applyAlignment="1" applyProtection="1">
      <alignment horizontal="center" vertical="center"/>
      <protection locked="0" hidden="1"/>
    </xf>
    <xf numFmtId="0" fontId="10" fillId="0" borderId="50" xfId="0" applyFont="1" applyBorder="1" applyAlignment="1" applyProtection="1">
      <alignment horizontal="center" vertical="center"/>
      <protection locked="0" hidden="1"/>
    </xf>
    <xf numFmtId="0" fontId="10" fillId="0" borderId="77" xfId="0" applyFont="1" applyBorder="1" applyAlignment="1" applyProtection="1">
      <alignment horizontal="center" vertical="center"/>
      <protection hidden="1"/>
    </xf>
    <xf numFmtId="0" fontId="10" fillId="0" borderId="78" xfId="0" applyFont="1" applyBorder="1" applyAlignment="1" applyProtection="1">
      <alignment horizontal="center" vertical="center"/>
      <protection hidden="1"/>
    </xf>
    <xf numFmtId="0" fontId="14" fillId="0" borderId="90" xfId="0" applyFont="1" applyBorder="1" applyAlignment="1" applyProtection="1">
      <alignment horizontal="center" vertical="center"/>
      <protection hidden="1"/>
    </xf>
    <xf numFmtId="0" fontId="14" fillId="0" borderId="48" xfId="0" applyFont="1" applyBorder="1" applyAlignment="1" applyProtection="1">
      <alignment horizontal="center" vertical="center"/>
      <protection hidden="1"/>
    </xf>
    <xf numFmtId="0" fontId="14" fillId="0" borderId="91" xfId="0" applyFont="1" applyBorder="1" applyAlignment="1" applyProtection="1">
      <alignment horizontal="center" vertical="center"/>
      <protection hidden="1"/>
    </xf>
    <xf numFmtId="0" fontId="10" fillId="0" borderId="175" xfId="0" applyFont="1" applyBorder="1" applyAlignment="1" applyProtection="1">
      <alignment horizontal="center" vertical="center"/>
      <protection hidden="1"/>
    </xf>
    <xf numFmtId="0" fontId="10" fillId="0" borderId="82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10" fillId="0" borderId="79" xfId="0" applyFont="1" applyBorder="1" applyAlignment="1" applyProtection="1">
      <alignment horizontal="center" vertical="center"/>
      <protection hidden="1"/>
    </xf>
    <xf numFmtId="180" fontId="10" fillId="0" borderId="77" xfId="0" applyNumberFormat="1" applyFont="1" applyBorder="1" applyAlignment="1" applyProtection="1">
      <alignment horizontal="center" vertical="center"/>
      <protection hidden="1"/>
    </xf>
    <xf numFmtId="180" fontId="10" fillId="0" borderId="78" xfId="0" applyNumberFormat="1" applyFont="1" applyBorder="1" applyAlignment="1" applyProtection="1">
      <alignment horizontal="center" vertical="center"/>
      <protection hidden="1"/>
    </xf>
    <xf numFmtId="0" fontId="14" fillId="0" borderId="80" xfId="0" applyFont="1" applyBorder="1" applyAlignment="1" applyProtection="1">
      <alignment vertical="center"/>
      <protection hidden="1"/>
    </xf>
    <xf numFmtId="0" fontId="14" fillId="0" borderId="43" xfId="0" applyFont="1" applyBorder="1" applyAlignment="1" applyProtection="1">
      <alignment vertical="center"/>
      <protection hidden="1"/>
    </xf>
    <xf numFmtId="0" fontId="10" fillId="0" borderId="176" xfId="0" applyFont="1" applyBorder="1" applyAlignment="1" applyProtection="1">
      <alignment horizontal="center" vertical="center"/>
      <protection hidden="1"/>
    </xf>
    <xf numFmtId="0" fontId="10" fillId="0" borderId="174" xfId="0" applyFont="1" applyBorder="1" applyAlignment="1" applyProtection="1">
      <alignment horizontal="center" vertical="center"/>
      <protection hidden="1"/>
    </xf>
    <xf numFmtId="0" fontId="10" fillId="0" borderId="63" xfId="0" applyFont="1" applyBorder="1" applyAlignment="1" applyProtection="1">
      <alignment horizontal="center" vertical="center"/>
      <protection locked="0" hidden="1"/>
    </xf>
    <xf numFmtId="0" fontId="10" fillId="0" borderId="169" xfId="0" applyFont="1" applyBorder="1" applyAlignment="1" applyProtection="1">
      <alignment horizontal="center" vertical="center"/>
      <protection locked="0" hidden="1"/>
    </xf>
    <xf numFmtId="0" fontId="10" fillId="0" borderId="167" xfId="0" applyFont="1" applyBorder="1" applyAlignment="1" applyProtection="1">
      <alignment horizontal="center" vertical="center"/>
      <protection locked="0" hidden="1"/>
    </xf>
    <xf numFmtId="0" fontId="10" fillId="0" borderId="168" xfId="0" applyFont="1" applyBorder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10" fillId="0" borderId="78" xfId="0" applyFont="1" applyBorder="1" applyAlignment="1">
      <alignment horizontal="center" vertical="center"/>
    </xf>
    <xf numFmtId="0" fontId="10" fillId="0" borderId="79" xfId="0" applyFont="1" applyBorder="1" applyAlignment="1">
      <alignment horizontal="center" vertical="center"/>
    </xf>
    <xf numFmtId="180" fontId="10" fillId="0" borderId="77" xfId="0" applyNumberFormat="1" applyFont="1" applyBorder="1" applyAlignment="1">
      <alignment horizontal="center" vertical="center"/>
    </xf>
    <xf numFmtId="180" fontId="10" fillId="0" borderId="78" xfId="0" applyNumberFormat="1" applyFont="1" applyBorder="1" applyAlignment="1">
      <alignment horizontal="center" vertical="center"/>
    </xf>
    <xf numFmtId="0" fontId="14" fillId="0" borderId="43" xfId="0" applyFont="1" applyBorder="1" applyAlignment="1">
      <alignment vertical="center"/>
    </xf>
    <xf numFmtId="0" fontId="10" fillId="0" borderId="82" xfId="0" applyFont="1" applyBorder="1" applyAlignment="1">
      <alignment horizontal="center" vertical="center"/>
    </xf>
    <xf numFmtId="0" fontId="14" fillId="0" borderId="44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78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45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195" fontId="10" fillId="0" borderId="0" xfId="0" applyNumberFormat="1" applyFont="1" applyAlignment="1" applyProtection="1">
      <alignment horizontal="center"/>
      <protection locked="0"/>
    </xf>
    <xf numFmtId="195" fontId="10" fillId="0" borderId="0" xfId="0" applyNumberFormat="1" applyFont="1" applyProtection="1">
      <protection locked="0"/>
    </xf>
    <xf numFmtId="196" fontId="10" fillId="0" borderId="0" xfId="0" applyNumberFormat="1" applyFont="1" applyAlignment="1" applyProtection="1">
      <alignment horizontal="center"/>
      <protection locked="0"/>
    </xf>
    <xf numFmtId="196" fontId="10" fillId="0" borderId="0" xfId="0" applyNumberFormat="1" applyFont="1" applyProtection="1">
      <protection locked="0"/>
    </xf>
    <xf numFmtId="165" fontId="10" fillId="0" borderId="0" xfId="0" applyNumberFormat="1" applyFont="1" applyAlignment="1" applyProtection="1">
      <alignment horizontal="center"/>
      <protection locked="0"/>
    </xf>
    <xf numFmtId="0" fontId="0" fillId="0" borderId="27" xfId="0" applyBorder="1" applyProtection="1">
      <protection locked="0"/>
    </xf>
    <xf numFmtId="0" fontId="0" fillId="0" borderId="50" xfId="0" applyBorder="1" applyProtection="1">
      <protection locked="0"/>
    </xf>
    <xf numFmtId="172" fontId="8" fillId="0" borderId="27" xfId="0" applyNumberFormat="1" applyFont="1" applyBorder="1" applyAlignment="1" applyProtection="1">
      <alignment horizontal="left"/>
      <protection locked="0"/>
    </xf>
    <xf numFmtId="179" fontId="8" fillId="0" borderId="63" xfId="0" applyNumberFormat="1" applyFont="1" applyBorder="1" applyAlignment="1" applyProtection="1">
      <alignment horizontal="center"/>
      <protection locked="0"/>
    </xf>
    <xf numFmtId="0" fontId="0" fillId="0" borderId="63" xfId="0" applyBorder="1" applyProtection="1">
      <protection locked="0"/>
    </xf>
    <xf numFmtId="179" fontId="8" fillId="0" borderId="27" xfId="0" applyNumberFormat="1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hidden="1"/>
    </xf>
    <xf numFmtId="0" fontId="8" fillId="0" borderId="167" xfId="0" applyFont="1" applyBorder="1" applyAlignment="1" applyProtection="1">
      <alignment horizontal="center"/>
      <protection hidden="1"/>
    </xf>
    <xf numFmtId="0" fontId="8" fillId="0" borderId="27" xfId="0" applyFont="1" applyBorder="1" applyAlignment="1" applyProtection="1">
      <alignment horizontal="center"/>
      <protection hidden="1"/>
    </xf>
    <xf numFmtId="0" fontId="8" fillId="0" borderId="50" xfId="0" applyFont="1" applyBorder="1" applyAlignment="1" applyProtection="1">
      <alignment horizontal="center"/>
      <protection hidden="1"/>
    </xf>
    <xf numFmtId="0" fontId="8" fillId="0" borderId="27" xfId="0" applyFont="1" applyBorder="1" applyAlignment="1" applyProtection="1">
      <alignment horizontal="center"/>
      <protection locked="0"/>
    </xf>
    <xf numFmtId="171" fontId="8" fillId="0" borderId="63" xfId="0" applyNumberFormat="1" applyFont="1" applyBorder="1" applyAlignment="1" applyProtection="1">
      <alignment horizontal="left"/>
      <protection locked="0"/>
    </xf>
    <xf numFmtId="169" fontId="13" fillId="0" borderId="0" xfId="0" applyNumberFormat="1" applyFont="1" applyProtection="1">
      <protection hidden="1"/>
    </xf>
    <xf numFmtId="0" fontId="0" fillId="0" borderId="169" xfId="0" applyBorder="1" applyProtection="1">
      <protection locked="0"/>
    </xf>
    <xf numFmtId="0" fontId="8" fillId="0" borderId="52" xfId="0" applyFont="1" applyBorder="1" applyAlignment="1" applyProtection="1">
      <alignment horizontal="center"/>
      <protection locked="0"/>
    </xf>
    <xf numFmtId="0" fontId="29" fillId="0" borderId="46" xfId="0" applyFont="1" applyBorder="1" applyAlignment="1" applyProtection="1">
      <alignment horizontal="center" wrapText="1"/>
      <protection hidden="1"/>
    </xf>
    <xf numFmtId="0" fontId="29" fillId="0" borderId="45" xfId="0" applyFont="1" applyBorder="1" applyAlignment="1" applyProtection="1">
      <alignment wrapText="1"/>
      <protection hidden="1"/>
    </xf>
    <xf numFmtId="0" fontId="29" fillId="0" borderId="47" xfId="0" applyFont="1" applyBorder="1" applyAlignment="1" applyProtection="1">
      <alignment wrapText="1"/>
      <protection hidden="1"/>
    </xf>
    <xf numFmtId="172" fontId="8" fillId="0" borderId="29" xfId="0" applyNumberFormat="1" applyFont="1" applyBorder="1" applyAlignment="1" applyProtection="1">
      <alignment horizontal="left"/>
      <protection locked="0"/>
    </xf>
    <xf numFmtId="0" fontId="14" fillId="0" borderId="78" xfId="0" applyFont="1" applyBorder="1" applyAlignment="1" applyProtection="1">
      <alignment horizontal="center" vertical="center"/>
      <protection hidden="1"/>
    </xf>
    <xf numFmtId="0" fontId="14" fillId="0" borderId="79" xfId="0" applyFont="1" applyBorder="1" applyAlignment="1" applyProtection="1">
      <alignment horizontal="center" vertical="center"/>
      <protection hidden="1"/>
    </xf>
    <xf numFmtId="0" fontId="14" fillId="0" borderId="83" xfId="0" applyFont="1" applyBorder="1" applyAlignment="1" applyProtection="1">
      <alignment horizontal="center" vertical="center"/>
      <protection hidden="1"/>
    </xf>
    <xf numFmtId="0" fontId="10" fillId="0" borderId="44" xfId="0" applyFont="1" applyBorder="1" applyAlignment="1" applyProtection="1">
      <alignment horizontal="center" vertical="center"/>
      <protection hidden="1"/>
    </xf>
    <xf numFmtId="0" fontId="10" fillId="0" borderId="45" xfId="0" applyFont="1" applyBorder="1" applyAlignment="1" applyProtection="1">
      <alignment horizontal="center" vertical="center"/>
      <protection hidden="1"/>
    </xf>
    <xf numFmtId="0" fontId="10" fillId="0" borderId="42" xfId="0" applyFont="1" applyBorder="1" applyAlignment="1" applyProtection="1">
      <alignment horizontal="center" vertical="center"/>
      <protection hidden="1"/>
    </xf>
    <xf numFmtId="0" fontId="8" fillId="0" borderId="90" xfId="0" applyFont="1" applyBorder="1" applyAlignment="1" applyProtection="1">
      <alignment horizontal="center"/>
      <protection hidden="1"/>
    </xf>
    <xf numFmtId="0" fontId="8" fillId="0" borderId="48" xfId="0" applyFont="1" applyBorder="1" applyAlignment="1" applyProtection="1">
      <alignment horizontal="center"/>
      <protection hidden="1"/>
    </xf>
    <xf numFmtId="0" fontId="8" fillId="0" borderId="91" xfId="0" applyFont="1" applyBorder="1" applyAlignment="1" applyProtection="1">
      <alignment horizontal="center"/>
      <protection hidden="1"/>
    </xf>
    <xf numFmtId="0" fontId="8" fillId="0" borderId="177" xfId="0" applyFont="1" applyBorder="1" applyAlignment="1" applyProtection="1">
      <alignment horizontal="center"/>
      <protection hidden="1"/>
    </xf>
    <xf numFmtId="0" fontId="8" fillId="0" borderId="29" xfId="0" applyFont="1" applyBorder="1" applyAlignment="1" applyProtection="1">
      <alignment horizontal="center"/>
      <protection hidden="1"/>
    </xf>
    <xf numFmtId="0" fontId="8" fillId="0" borderId="178" xfId="0" applyFont="1" applyBorder="1" applyAlignment="1" applyProtection="1">
      <alignment horizontal="center"/>
      <protection hidden="1"/>
    </xf>
    <xf numFmtId="0" fontId="0" fillId="0" borderId="48" xfId="0" applyBorder="1" applyProtection="1">
      <protection hidden="1"/>
    </xf>
    <xf numFmtId="179" fontId="8" fillId="0" borderId="29" xfId="0" applyNumberFormat="1" applyFont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0" fillId="0" borderId="178" xfId="0" applyBorder="1" applyProtection="1">
      <protection locked="0"/>
    </xf>
    <xf numFmtId="0" fontId="8" fillId="0" borderId="47" xfId="0" applyFont="1" applyBorder="1" applyAlignment="1" applyProtection="1">
      <alignment horizontal="center"/>
      <protection hidden="1"/>
    </xf>
    <xf numFmtId="0" fontId="8" fillId="0" borderId="39" xfId="0" applyFont="1" applyBorder="1" applyAlignment="1" applyProtection="1">
      <alignment horizontal="center"/>
      <protection locked="0"/>
    </xf>
    <xf numFmtId="0" fontId="8" fillId="0" borderId="29" xfId="0" applyFont="1" applyBorder="1" applyAlignment="1" applyProtection="1">
      <alignment horizontal="center"/>
      <protection locked="0"/>
    </xf>
    <xf numFmtId="202" fontId="11" fillId="0" borderId="22" xfId="0" applyNumberFormat="1" applyFont="1" applyBorder="1" applyAlignment="1" applyProtection="1">
      <alignment horizontal="center"/>
      <protection locked="0" hidden="1"/>
    </xf>
    <xf numFmtId="202" fontId="11" fillId="0" borderId="4" xfId="0" applyNumberFormat="1" applyFont="1" applyBorder="1" applyAlignment="1" applyProtection="1">
      <alignment horizontal="center"/>
      <protection locked="0" hidden="1"/>
    </xf>
    <xf numFmtId="202" fontId="11" fillId="0" borderId="12" xfId="0" applyNumberFormat="1" applyFont="1" applyBorder="1" applyAlignment="1" applyProtection="1">
      <alignment horizontal="center"/>
      <protection locked="0" hidden="1"/>
    </xf>
    <xf numFmtId="0" fontId="11" fillId="0" borderId="81" xfId="0" applyFont="1" applyBorder="1" applyAlignment="1" applyProtection="1">
      <alignment horizontal="left"/>
      <protection hidden="1"/>
    </xf>
    <xf numFmtId="0" fontId="11" fillId="0" borderId="78" xfId="0" applyFont="1" applyBorder="1" applyAlignment="1" applyProtection="1">
      <alignment horizontal="left"/>
      <protection hidden="1"/>
    </xf>
    <xf numFmtId="209" fontId="11" fillId="0" borderId="44" xfId="0" applyNumberFormat="1" applyFont="1" applyBorder="1" applyAlignment="1" applyProtection="1">
      <alignment horizontal="center"/>
      <protection locked="0" hidden="1"/>
    </xf>
    <xf numFmtId="209" fontId="11" fillId="0" borderId="45" xfId="0" applyNumberFormat="1" applyFont="1" applyBorder="1" applyAlignment="1" applyProtection="1">
      <alignment horizontal="center"/>
      <protection locked="0" hidden="1"/>
    </xf>
    <xf numFmtId="209" fontId="11" fillId="0" borderId="42" xfId="0" applyNumberFormat="1" applyFont="1" applyBorder="1" applyAlignment="1" applyProtection="1">
      <alignment horizontal="center"/>
      <protection locked="0" hidden="1"/>
    </xf>
    <xf numFmtId="0" fontId="8" fillId="0" borderId="63" xfId="0" applyFont="1" applyBorder="1" applyAlignment="1" applyProtection="1">
      <alignment horizontal="center"/>
      <protection locked="0"/>
    </xf>
    <xf numFmtId="0" fontId="8" fillId="0" borderId="62" xfId="0" applyFont="1" applyBorder="1" applyAlignment="1" applyProtection="1">
      <alignment horizontal="center"/>
      <protection locked="0"/>
    </xf>
    <xf numFmtId="0" fontId="8" fillId="0" borderId="168" xfId="0" applyFont="1" applyBorder="1" applyAlignment="1" applyProtection="1">
      <alignment horizontal="center"/>
      <protection hidden="1"/>
    </xf>
    <xf numFmtId="0" fontId="8" fillId="0" borderId="63" xfId="0" applyFont="1" applyBorder="1" applyAlignment="1" applyProtection="1">
      <alignment horizontal="center"/>
      <protection hidden="1"/>
    </xf>
    <xf numFmtId="0" fontId="8" fillId="0" borderId="169" xfId="0" applyFont="1" applyBorder="1" applyAlignment="1" applyProtection="1">
      <alignment horizontal="center"/>
      <protection hidden="1"/>
    </xf>
    <xf numFmtId="197" fontId="14" fillId="0" borderId="26" xfId="3" applyNumberFormat="1" applyFont="1" applyBorder="1" applyAlignment="1" applyProtection="1">
      <alignment horizontal="left" vertical="center" wrapText="1"/>
      <protection hidden="1"/>
    </xf>
    <xf numFmtId="197" fontId="14" fillId="0" borderId="51" xfId="3" applyNumberFormat="1" applyFont="1" applyBorder="1" applyAlignment="1" applyProtection="1">
      <alignment horizontal="left" vertical="center" wrapText="1"/>
      <protection hidden="1"/>
    </xf>
    <xf numFmtId="197" fontId="14" fillId="0" borderId="52" xfId="3" applyNumberFormat="1" applyFont="1" applyBorder="1" applyAlignment="1" applyProtection="1">
      <alignment horizontal="left" vertical="center" wrapText="1"/>
      <protection hidden="1"/>
    </xf>
    <xf numFmtId="172" fontId="14" fillId="0" borderId="26" xfId="3" applyNumberFormat="1" applyFont="1" applyBorder="1" applyAlignment="1" applyProtection="1">
      <alignment horizontal="center" vertical="center" wrapText="1"/>
      <protection hidden="1"/>
    </xf>
    <xf numFmtId="172" fontId="16" fillId="0" borderId="51" xfId="3" applyNumberFormat="1" applyBorder="1" applyAlignment="1" applyProtection="1">
      <alignment horizontal="center" wrapText="1"/>
      <protection hidden="1"/>
    </xf>
    <xf numFmtId="172" fontId="16" fillId="0" borderId="52" xfId="3" applyNumberFormat="1" applyBorder="1" applyAlignment="1" applyProtection="1">
      <alignment horizontal="center" wrapText="1"/>
      <protection hidden="1"/>
    </xf>
    <xf numFmtId="10" fontId="60" fillId="0" borderId="0" xfId="3" applyNumberFormat="1" applyFont="1" applyAlignment="1" applyProtection="1">
      <alignment horizontal="center" vertical="center" wrapText="1"/>
      <protection hidden="1"/>
    </xf>
    <xf numFmtId="10" fontId="36" fillId="0" borderId="0" xfId="3" applyNumberFormat="1" applyFont="1" applyAlignment="1" applyProtection="1">
      <alignment horizontal="center" wrapText="1"/>
      <protection hidden="1"/>
    </xf>
    <xf numFmtId="0" fontId="25" fillId="0" borderId="0" xfId="3" applyFont="1" applyAlignment="1" applyProtection="1">
      <alignment horizontal="center"/>
      <protection hidden="1"/>
    </xf>
    <xf numFmtId="0" fontId="16" fillId="0" borderId="0" xfId="3" applyProtection="1">
      <protection hidden="1"/>
    </xf>
    <xf numFmtId="0" fontId="25" fillId="0" borderId="0" xfId="3" applyFont="1" applyAlignment="1" applyProtection="1">
      <alignment horizontal="left"/>
      <protection hidden="1"/>
    </xf>
    <xf numFmtId="197" fontId="14" fillId="0" borderId="27" xfId="3" applyNumberFormat="1" applyFont="1" applyBorder="1" applyAlignment="1" applyProtection="1">
      <alignment vertical="center" wrapText="1"/>
      <protection hidden="1"/>
    </xf>
    <xf numFmtId="0" fontId="16" fillId="0" borderId="27" xfId="3" applyBorder="1" applyAlignment="1" applyProtection="1">
      <alignment wrapText="1"/>
      <protection hidden="1"/>
    </xf>
    <xf numFmtId="2" fontId="14" fillId="0" borderId="27" xfId="3" applyNumberFormat="1" applyFont="1" applyBorder="1" applyAlignment="1" applyProtection="1">
      <alignment horizontal="center"/>
      <protection hidden="1"/>
    </xf>
    <xf numFmtId="0" fontId="29" fillId="0" borderId="0" xfId="3" applyFont="1" applyAlignment="1" applyProtection="1">
      <alignment horizontal="center" vertical="top" wrapText="1"/>
      <protection hidden="1"/>
    </xf>
    <xf numFmtId="172" fontId="14" fillId="0" borderId="26" xfId="3" applyNumberFormat="1" applyFont="1" applyBorder="1" applyAlignment="1" applyProtection="1">
      <alignment horizontal="center" wrapText="1"/>
      <protection hidden="1"/>
    </xf>
    <xf numFmtId="172" fontId="14" fillId="0" borderId="51" xfId="3" applyNumberFormat="1" applyFont="1" applyBorder="1" applyAlignment="1" applyProtection="1">
      <alignment horizontal="center" wrapText="1"/>
      <protection hidden="1"/>
    </xf>
    <xf numFmtId="172" fontId="14" fillId="0" borderId="52" xfId="3" applyNumberFormat="1" applyFont="1" applyBorder="1" applyAlignment="1" applyProtection="1">
      <alignment horizontal="center" wrapText="1"/>
      <protection hidden="1"/>
    </xf>
    <xf numFmtId="0" fontId="16" fillId="0" borderId="0" xfId="3" applyAlignment="1" applyProtection="1">
      <alignment horizontal="center" wrapText="1"/>
      <protection hidden="1"/>
    </xf>
    <xf numFmtId="197" fontId="14" fillId="9" borderId="26" xfId="3" applyNumberFormat="1" applyFont="1" applyFill="1" applyBorder="1" applyAlignment="1" applyProtection="1">
      <alignment vertical="center" wrapText="1"/>
      <protection hidden="1"/>
    </xf>
    <xf numFmtId="197" fontId="14" fillId="9" borderId="51" xfId="3" applyNumberFormat="1" applyFont="1" applyFill="1" applyBorder="1" applyAlignment="1" applyProtection="1">
      <alignment vertical="center" wrapText="1"/>
      <protection hidden="1"/>
    </xf>
    <xf numFmtId="197" fontId="14" fillId="9" borderId="52" xfId="3" applyNumberFormat="1" applyFont="1" applyFill="1" applyBorder="1" applyAlignment="1" applyProtection="1">
      <alignment vertical="center" wrapText="1"/>
      <protection hidden="1"/>
    </xf>
    <xf numFmtId="10" fontId="14" fillId="0" borderId="26" xfId="3" applyNumberFormat="1" applyFont="1" applyBorder="1" applyAlignment="1" applyProtection="1">
      <alignment horizontal="center" vertical="center" wrapText="1"/>
      <protection hidden="1"/>
    </xf>
    <xf numFmtId="10" fontId="16" fillId="0" borderId="51" xfId="3" applyNumberFormat="1" applyBorder="1" applyAlignment="1" applyProtection="1">
      <alignment horizontal="center" wrapText="1"/>
      <protection hidden="1"/>
    </xf>
    <xf numFmtId="10" fontId="16" fillId="0" borderId="52" xfId="3" applyNumberFormat="1" applyBorder="1" applyAlignment="1" applyProtection="1">
      <alignment horizontal="center" wrapText="1"/>
      <protection hidden="1"/>
    </xf>
    <xf numFmtId="197" fontId="14" fillId="10" borderId="26" xfId="3" applyNumberFormat="1" applyFont="1" applyFill="1" applyBorder="1" applyAlignment="1" applyProtection="1">
      <alignment vertical="center" wrapText="1"/>
      <protection hidden="1"/>
    </xf>
    <xf numFmtId="197" fontId="14" fillId="10" borderId="51" xfId="3" applyNumberFormat="1" applyFont="1" applyFill="1" applyBorder="1" applyAlignment="1" applyProtection="1">
      <alignment vertical="center" wrapText="1"/>
      <protection hidden="1"/>
    </xf>
    <xf numFmtId="197" fontId="14" fillId="10" borderId="52" xfId="3" applyNumberFormat="1" applyFont="1" applyFill="1" applyBorder="1" applyAlignment="1" applyProtection="1">
      <alignment vertical="center" wrapText="1"/>
      <protection hidden="1"/>
    </xf>
    <xf numFmtId="197" fontId="14" fillId="8" borderId="26" xfId="3" applyNumberFormat="1" applyFont="1" applyFill="1" applyBorder="1" applyAlignment="1" applyProtection="1">
      <alignment vertical="center" wrapText="1"/>
      <protection hidden="1"/>
    </xf>
    <xf numFmtId="197" fontId="14" fillId="8" borderId="51" xfId="3" applyNumberFormat="1" applyFont="1" applyFill="1" applyBorder="1" applyAlignment="1" applyProtection="1">
      <alignment vertical="center" wrapText="1"/>
      <protection hidden="1"/>
    </xf>
    <xf numFmtId="197" fontId="14" fillId="8" borderId="52" xfId="3" applyNumberFormat="1" applyFont="1" applyFill="1" applyBorder="1" applyAlignment="1" applyProtection="1">
      <alignment vertical="center" wrapText="1"/>
      <protection hidden="1"/>
    </xf>
    <xf numFmtId="0" fontId="14" fillId="0" borderId="174" xfId="3" applyFont="1" applyBorder="1" applyAlignment="1" applyProtection="1">
      <alignment vertical="center" wrapText="1"/>
      <protection hidden="1"/>
    </xf>
    <xf numFmtId="0" fontId="16" fillId="0" borderId="175" xfId="3" applyBorder="1" applyAlignment="1" applyProtection="1">
      <alignment wrapText="1"/>
      <protection hidden="1"/>
    </xf>
    <xf numFmtId="0" fontId="8" fillId="0" borderId="32" xfId="0" applyFont="1" applyBorder="1" applyAlignment="1" applyProtection="1">
      <alignment horizontal="center"/>
      <protection hidden="1"/>
    </xf>
    <xf numFmtId="0" fontId="8" fillId="0" borderId="49" xfId="0" applyFont="1" applyBorder="1" applyAlignment="1" applyProtection="1">
      <alignment horizontal="center"/>
      <protection hidden="1"/>
    </xf>
    <xf numFmtId="0" fontId="8" fillId="0" borderId="85" xfId="0" applyFont="1" applyBorder="1" applyAlignment="1" applyProtection="1">
      <alignment horizontal="center"/>
      <protection hidden="1"/>
    </xf>
    <xf numFmtId="0" fontId="14" fillId="0" borderId="175" xfId="3" applyFont="1" applyBorder="1" applyAlignment="1" applyProtection="1">
      <alignment vertical="center" wrapText="1"/>
      <protection hidden="1"/>
    </xf>
    <xf numFmtId="0" fontId="16" fillId="0" borderId="175" xfId="3" applyBorder="1" applyProtection="1">
      <protection hidden="1"/>
    </xf>
    <xf numFmtId="49" fontId="8" fillId="0" borderId="32" xfId="0" applyNumberFormat="1" applyFont="1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0" fontId="0" fillId="0" borderId="87" xfId="0" applyBorder="1" applyAlignment="1" applyProtection="1">
      <alignment horizontal="center"/>
      <protection hidden="1"/>
    </xf>
    <xf numFmtId="0" fontId="14" fillId="0" borderId="168" xfId="3" applyFont="1" applyBorder="1" applyAlignment="1" applyProtection="1">
      <alignment vertical="center" wrapText="1"/>
      <protection hidden="1"/>
    </xf>
    <xf numFmtId="0" fontId="16" fillId="0" borderId="63" xfId="3" applyBorder="1" applyProtection="1">
      <protection hidden="1"/>
    </xf>
    <xf numFmtId="0" fontId="8" fillId="0" borderId="34" xfId="0" applyFont="1" applyBorder="1" applyAlignment="1" applyProtection="1">
      <alignment horizontal="center"/>
      <protection hidden="1"/>
    </xf>
    <xf numFmtId="0" fontId="8" fillId="0" borderId="67" xfId="0" applyFont="1" applyBorder="1" applyAlignment="1" applyProtection="1">
      <alignment horizontal="center"/>
      <protection hidden="1"/>
    </xf>
    <xf numFmtId="0" fontId="8" fillId="0" borderId="62" xfId="0" applyFont="1" applyBorder="1" applyAlignment="1" applyProtection="1">
      <alignment horizontal="center"/>
      <protection hidden="1"/>
    </xf>
    <xf numFmtId="0" fontId="14" fillId="0" borderId="179" xfId="3" applyFont="1" applyBorder="1" applyAlignment="1" applyProtection="1">
      <alignment vertical="center" wrapText="1"/>
      <protection hidden="1"/>
    </xf>
    <xf numFmtId="0" fontId="16" fillId="0" borderId="164" xfId="3" applyBorder="1" applyProtection="1">
      <protection hidden="1"/>
    </xf>
    <xf numFmtId="212" fontId="8" fillId="0" borderId="34" xfId="0" applyNumberFormat="1" applyFont="1" applyBorder="1" applyAlignment="1" applyProtection="1">
      <alignment horizontal="center"/>
      <protection hidden="1"/>
    </xf>
    <xf numFmtId="212" fontId="8" fillId="0" borderId="62" xfId="0" applyNumberFormat="1" applyFont="1" applyBorder="1" applyAlignment="1" applyProtection="1">
      <alignment horizontal="center"/>
      <protection hidden="1"/>
    </xf>
    <xf numFmtId="0" fontId="8" fillId="0" borderId="152" xfId="0" applyFont="1" applyBorder="1" applyAlignment="1" applyProtection="1">
      <alignment horizontal="center"/>
      <protection hidden="1"/>
    </xf>
    <xf numFmtId="0" fontId="14" fillId="0" borderId="34" xfId="3" applyFont="1" applyBorder="1" applyAlignment="1" applyProtection="1">
      <alignment horizontal="center" vertical="center"/>
      <protection hidden="1"/>
    </xf>
    <xf numFmtId="0" fontId="14" fillId="0" borderId="67" xfId="3" applyFont="1" applyBorder="1" applyAlignment="1" applyProtection="1">
      <alignment horizontal="center" vertical="center"/>
      <protection hidden="1"/>
    </xf>
    <xf numFmtId="0" fontId="14" fillId="0" borderId="62" xfId="3" applyFont="1" applyBorder="1" applyAlignment="1" applyProtection="1">
      <alignment horizontal="center" vertical="center"/>
      <protection hidden="1"/>
    </xf>
    <xf numFmtId="197" fontId="14" fillId="0" borderId="0" xfId="3" applyNumberFormat="1" applyFont="1" applyAlignment="1" applyProtection="1">
      <alignment vertical="center" wrapText="1"/>
      <protection hidden="1"/>
    </xf>
    <xf numFmtId="0" fontId="14" fillId="0" borderId="0" xfId="3" applyFont="1" applyAlignment="1" applyProtection="1">
      <alignment horizontal="center" vertical="center"/>
      <protection hidden="1"/>
    </xf>
    <xf numFmtId="0" fontId="16" fillId="0" borderId="0" xfId="3" applyAlignment="1" applyProtection="1">
      <alignment horizontal="center"/>
      <protection hidden="1"/>
    </xf>
    <xf numFmtId="0" fontId="21" fillId="0" borderId="0" xfId="3" applyFont="1" applyAlignment="1" applyProtection="1">
      <alignment horizontal="left" vertical="center"/>
      <protection hidden="1"/>
    </xf>
    <xf numFmtId="197" fontId="14" fillId="0" borderId="26" xfId="3" applyNumberFormat="1" applyFont="1" applyBorder="1" applyAlignment="1" applyProtection="1">
      <alignment horizontal="center" vertical="center" wrapText="1"/>
      <protection hidden="1"/>
    </xf>
    <xf numFmtId="197" fontId="14" fillId="0" borderId="51" xfId="3" applyNumberFormat="1" applyFont="1" applyBorder="1" applyAlignment="1" applyProtection="1">
      <alignment horizontal="center" vertical="center" wrapText="1"/>
      <protection hidden="1"/>
    </xf>
    <xf numFmtId="197" fontId="14" fillId="0" borderId="52" xfId="3" applyNumberFormat="1" applyFont="1" applyBorder="1" applyAlignment="1" applyProtection="1">
      <alignment horizontal="center" vertical="center" wrapText="1"/>
      <protection hidden="1"/>
    </xf>
    <xf numFmtId="180" fontId="16" fillId="0" borderId="26" xfId="0" applyNumberFormat="1" applyFont="1" applyBorder="1" applyAlignment="1" applyProtection="1">
      <alignment horizontal="center"/>
      <protection hidden="1"/>
    </xf>
    <xf numFmtId="180" fontId="16" fillId="0" borderId="51" xfId="0" applyNumberFormat="1" applyFont="1" applyBorder="1" applyAlignment="1" applyProtection="1">
      <alignment horizontal="center"/>
      <protection hidden="1"/>
    </xf>
    <xf numFmtId="180" fontId="16" fillId="0" borderId="52" xfId="0" applyNumberFormat="1" applyFont="1" applyBorder="1" applyAlignment="1" applyProtection="1">
      <alignment horizontal="center"/>
      <protection hidden="1"/>
    </xf>
    <xf numFmtId="169" fontId="33" fillId="0" borderId="66" xfId="0" applyNumberFormat="1" applyFont="1" applyBorder="1" applyAlignment="1" applyProtection="1">
      <alignment horizontal="center"/>
      <protection locked="0"/>
    </xf>
    <xf numFmtId="0" fontId="33" fillId="0" borderId="45" xfId="0" applyFont="1" applyBorder="1" applyAlignment="1">
      <alignment horizontal="center"/>
    </xf>
    <xf numFmtId="0" fontId="33" fillId="0" borderId="45" xfId="0" applyFont="1" applyBorder="1" applyAlignment="1">
      <alignment horizontal="left"/>
    </xf>
    <xf numFmtId="0" fontId="33" fillId="0" borderId="14" xfId="0" applyFont="1" applyBorder="1"/>
    <xf numFmtId="0" fontId="33" fillId="0" borderId="0" xfId="0" applyFont="1"/>
    <xf numFmtId="183" fontId="33" fillId="0" borderId="146" xfId="0" applyNumberFormat="1" applyFont="1" applyBorder="1" applyAlignment="1" applyProtection="1">
      <alignment horizontal="center"/>
      <protection locked="0"/>
    </xf>
    <xf numFmtId="0" fontId="33" fillId="0" borderId="14" xfId="0" applyFont="1" applyBorder="1" applyAlignment="1">
      <alignment horizontal="left"/>
    </xf>
    <xf numFmtId="0" fontId="40" fillId="0" borderId="0" xfId="0" applyFont="1" applyAlignment="1">
      <alignment horizontal="center"/>
    </xf>
    <xf numFmtId="0" fontId="40" fillId="0" borderId="154" xfId="0" applyFont="1" applyBorder="1" applyAlignment="1">
      <alignment horizontal="center"/>
    </xf>
    <xf numFmtId="0" fontId="41" fillId="0" borderId="22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0" fontId="16" fillId="0" borderId="26" xfId="0" applyFont="1" applyBorder="1" applyAlignment="1" applyProtection="1">
      <alignment horizontal="center"/>
      <protection locked="0"/>
    </xf>
    <xf numFmtId="0" fontId="16" fillId="0" borderId="51" xfId="0" applyFont="1" applyBorder="1" applyAlignment="1" applyProtection="1">
      <alignment horizontal="center"/>
      <protection locked="0"/>
    </xf>
    <xf numFmtId="0" fontId="16" fillId="0" borderId="52" xfId="0" applyFont="1" applyBorder="1" applyAlignment="1" applyProtection="1">
      <alignment horizontal="center"/>
      <protection locked="0"/>
    </xf>
    <xf numFmtId="0" fontId="16" fillId="0" borderId="49" xfId="0" applyFont="1" applyBorder="1" applyAlignment="1">
      <alignment horizontal="center"/>
    </xf>
    <xf numFmtId="0" fontId="16" fillId="0" borderId="85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206" fontId="33" fillId="0" borderId="26" xfId="0" applyNumberFormat="1" applyFont="1" applyBorder="1" applyAlignment="1" applyProtection="1">
      <alignment horizontal="center"/>
      <protection locked="0"/>
    </xf>
    <xf numFmtId="206" fontId="33" fillId="0" borderId="51" xfId="0" applyNumberFormat="1" applyFont="1" applyBorder="1" applyAlignment="1" applyProtection="1">
      <alignment horizontal="center"/>
      <protection locked="0"/>
    </xf>
    <xf numFmtId="206" fontId="33" fillId="0" borderId="52" xfId="0" applyNumberFormat="1" applyFont="1" applyBorder="1" applyAlignment="1" applyProtection="1">
      <alignment horizontal="center"/>
      <protection locked="0"/>
    </xf>
    <xf numFmtId="0" fontId="16" fillId="0" borderId="3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13" xfId="0" applyFont="1" applyBorder="1" applyAlignment="1">
      <alignment horizontal="center"/>
    </xf>
    <xf numFmtId="0" fontId="33" fillId="0" borderId="14" xfId="0" applyFont="1" applyBorder="1" applyAlignment="1">
      <alignment horizontal="center"/>
    </xf>
    <xf numFmtId="0" fontId="35" fillId="0" borderId="22" xfId="0" applyFont="1" applyBorder="1" applyAlignment="1">
      <alignment horizontal="left"/>
    </xf>
    <xf numFmtId="0" fontId="35" fillId="0" borderId="4" xfId="0" applyFont="1" applyBorder="1" applyAlignment="1">
      <alignment horizontal="left"/>
    </xf>
    <xf numFmtId="0" fontId="42" fillId="0" borderId="0" xfId="0" applyFont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7" xfId="0" applyFont="1" applyBorder="1" applyAlignment="1">
      <alignment horizontal="left"/>
    </xf>
    <xf numFmtId="0" fontId="33" fillId="0" borderId="5" xfId="0" applyFont="1" applyBorder="1" applyAlignment="1">
      <alignment horizontal="left"/>
    </xf>
    <xf numFmtId="0" fontId="33" fillId="0" borderId="61" xfId="0" applyFont="1" applyBorder="1" applyAlignment="1">
      <alignment horizontal="center"/>
    </xf>
    <xf numFmtId="0" fontId="33" fillId="0" borderId="66" xfId="0" applyFont="1" applyBorder="1" applyAlignment="1">
      <alignment horizontal="center"/>
    </xf>
    <xf numFmtId="0" fontId="33" fillId="0" borderId="100" xfId="0" applyFont="1" applyBorder="1" applyAlignment="1">
      <alignment horizontal="center"/>
    </xf>
    <xf numFmtId="2" fontId="4" fillId="0" borderId="147" xfId="0" applyNumberFormat="1" applyFont="1" applyBorder="1" applyAlignment="1">
      <alignment horizontal="right"/>
    </xf>
    <xf numFmtId="2" fontId="4" fillId="0" borderId="3" xfId="0" applyNumberFormat="1" applyFont="1" applyBorder="1" applyAlignment="1">
      <alignment horizontal="right"/>
    </xf>
    <xf numFmtId="0" fontId="33" fillId="0" borderId="103" xfId="0" applyFont="1" applyBorder="1" applyAlignment="1">
      <alignment horizontal="center"/>
    </xf>
    <xf numFmtId="0" fontId="35" fillId="0" borderId="0" xfId="0" applyFont="1" applyAlignment="1">
      <alignment horizontal="center"/>
    </xf>
    <xf numFmtId="199" fontId="4" fillId="0" borderId="100" xfId="0" applyNumberFormat="1" applyFont="1" applyBorder="1" applyAlignment="1">
      <alignment horizontal="left"/>
    </xf>
    <xf numFmtId="199" fontId="4" fillId="0" borderId="65" xfId="0" applyNumberFormat="1" applyFont="1" applyBorder="1" applyAlignment="1">
      <alignment horizontal="left"/>
    </xf>
    <xf numFmtId="177" fontId="45" fillId="0" borderId="5" xfId="0" applyNumberFormat="1" applyFont="1" applyBorder="1" applyAlignment="1">
      <alignment horizontal="left"/>
    </xf>
    <xf numFmtId="165" fontId="33" fillId="0" borderId="3" xfId="0" applyNumberFormat="1" applyFont="1" applyBorder="1" applyAlignment="1" applyProtection="1">
      <alignment horizontal="center"/>
      <protection locked="0"/>
    </xf>
    <xf numFmtId="199" fontId="4" fillId="0" borderId="3" xfId="0" applyNumberFormat="1" applyFont="1" applyBorder="1" applyAlignment="1">
      <alignment horizontal="left"/>
    </xf>
    <xf numFmtId="2" fontId="45" fillId="0" borderId="5" xfId="0" applyNumberFormat="1" applyFont="1" applyBorder="1" applyAlignment="1">
      <alignment horizontal="center"/>
    </xf>
    <xf numFmtId="190" fontId="33" fillId="7" borderId="7" xfId="0" applyNumberFormat="1" applyFont="1" applyFill="1" applyBorder="1" applyAlignment="1" applyProtection="1">
      <alignment horizontal="center" vertical="center"/>
      <protection locked="0"/>
    </xf>
    <xf numFmtId="190" fontId="33" fillId="7" borderId="5" xfId="0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16" fillId="0" borderId="71" xfId="0" applyFont="1" applyBorder="1" applyAlignment="1">
      <alignment horizontal="center"/>
    </xf>
    <xf numFmtId="0" fontId="16" fillId="0" borderId="51" xfId="0" applyFont="1" applyBorder="1" applyAlignment="1">
      <alignment horizontal="center"/>
    </xf>
    <xf numFmtId="0" fontId="16" fillId="0" borderId="52" xfId="0" applyFont="1" applyBorder="1" applyAlignment="1">
      <alignment horizontal="center"/>
    </xf>
    <xf numFmtId="0" fontId="42" fillId="0" borderId="14" xfId="0" applyFont="1" applyBorder="1" applyAlignment="1">
      <alignment horizontal="left"/>
    </xf>
    <xf numFmtId="199" fontId="4" fillId="0" borderId="10" xfId="0" applyNumberFormat="1" applyFont="1" applyBorder="1" applyAlignment="1">
      <alignment horizontal="left"/>
    </xf>
    <xf numFmtId="199" fontId="4" fillId="0" borderId="148" xfId="0" applyNumberFormat="1" applyFont="1" applyBorder="1" applyAlignment="1">
      <alignment horizontal="left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67" xfId="0" applyFont="1" applyBorder="1" applyAlignment="1" applyProtection="1">
      <alignment horizontal="center"/>
      <protection locked="0"/>
    </xf>
    <xf numFmtId="0" fontId="16" fillId="0" borderId="62" xfId="0" applyFont="1" applyBorder="1" applyAlignment="1" applyProtection="1">
      <alignment horizontal="center"/>
      <protection locked="0"/>
    </xf>
    <xf numFmtId="0" fontId="40" fillId="0" borderId="13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12" borderId="26" xfId="0" applyFont="1" applyFill="1" applyBorder="1" applyAlignment="1" applyProtection="1">
      <alignment horizontal="center"/>
      <protection locked="0"/>
    </xf>
    <xf numFmtId="0" fontId="16" fillId="12" borderId="51" xfId="0" applyFont="1" applyFill="1" applyBorder="1" applyAlignment="1" applyProtection="1">
      <alignment horizontal="center"/>
      <protection locked="0"/>
    </xf>
    <xf numFmtId="0" fontId="16" fillId="12" borderId="52" xfId="0" applyFont="1" applyFill="1" applyBorder="1" applyAlignment="1" applyProtection="1">
      <alignment horizontal="center"/>
      <protection locked="0"/>
    </xf>
    <xf numFmtId="0" fontId="16" fillId="0" borderId="33" xfId="0" applyFont="1" applyBorder="1" applyAlignment="1">
      <alignment horizontal="center"/>
    </xf>
    <xf numFmtId="0" fontId="16" fillId="0" borderId="67" xfId="0" applyFont="1" applyBorder="1" applyAlignment="1">
      <alignment horizontal="center"/>
    </xf>
    <xf numFmtId="0" fontId="16" fillId="0" borderId="62" xfId="0" applyFont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51" xfId="0" applyFill="1" applyBorder="1" applyAlignment="1">
      <alignment horizontal="center"/>
    </xf>
    <xf numFmtId="0" fontId="0" fillId="13" borderId="52" xfId="0" applyFill="1" applyBorder="1" applyAlignment="1">
      <alignment horizontal="center"/>
    </xf>
    <xf numFmtId="0" fontId="0" fillId="13" borderId="34" xfId="0" applyFill="1" applyBorder="1" applyAlignment="1">
      <alignment horizontal="center"/>
    </xf>
    <xf numFmtId="0" fontId="0" fillId="13" borderId="67" xfId="0" applyFill="1" applyBorder="1" applyAlignment="1">
      <alignment horizontal="center"/>
    </xf>
    <xf numFmtId="0" fontId="0" fillId="13" borderId="62" xfId="0" applyFill="1" applyBorder="1" applyAlignment="1">
      <alignment horizontal="center"/>
    </xf>
    <xf numFmtId="165" fontId="33" fillId="0" borderId="69" xfId="0" applyNumberFormat="1" applyFont="1" applyBorder="1" applyAlignment="1" applyProtection="1">
      <alignment horizontal="center"/>
      <protection locked="0"/>
    </xf>
    <xf numFmtId="203" fontId="33" fillId="0" borderId="10" xfId="0" applyNumberFormat="1" applyFont="1" applyBorder="1" applyAlignment="1" applyProtection="1">
      <alignment horizontal="right"/>
      <protection locked="0"/>
    </xf>
    <xf numFmtId="203" fontId="33" fillId="0" borderId="69" xfId="0" applyNumberFormat="1" applyFont="1" applyBorder="1" applyAlignment="1" applyProtection="1">
      <alignment horizontal="right"/>
      <protection locked="0"/>
    </xf>
    <xf numFmtId="203" fontId="33" fillId="0" borderId="15" xfId="0" applyNumberFormat="1" applyFont="1" applyBorder="1" applyAlignment="1" applyProtection="1">
      <alignment horizontal="right"/>
      <protection locked="0"/>
    </xf>
    <xf numFmtId="199" fontId="4" fillId="0" borderId="115" xfId="0" applyNumberFormat="1" applyFont="1" applyBorder="1" applyAlignment="1">
      <alignment horizontal="left"/>
    </xf>
    <xf numFmtId="2" fontId="4" fillId="0" borderId="9" xfId="0" applyNumberFormat="1" applyFont="1" applyBorder="1" applyAlignment="1">
      <alignment horizontal="right"/>
    </xf>
    <xf numFmtId="2" fontId="4" fillId="0" borderId="149" xfId="0" applyNumberFormat="1" applyFont="1" applyBorder="1" applyAlignment="1">
      <alignment horizontal="right"/>
    </xf>
    <xf numFmtId="2" fontId="4" fillId="0" borderId="113" xfId="0" applyNumberFormat="1" applyFont="1" applyBorder="1" applyAlignment="1">
      <alignment horizontal="right"/>
    </xf>
    <xf numFmtId="177" fontId="4" fillId="0" borderId="113" xfId="0" applyNumberFormat="1" applyFont="1" applyBorder="1" applyAlignment="1">
      <alignment horizontal="left"/>
    </xf>
    <xf numFmtId="0" fontId="34" fillId="0" borderId="4" xfId="0" applyFont="1" applyBorder="1" applyAlignment="1">
      <alignment horizontal="center"/>
    </xf>
    <xf numFmtId="0" fontId="33" fillId="0" borderId="100" xfId="0" applyFont="1" applyBorder="1" applyAlignment="1" applyProtection="1">
      <alignment horizontal="center"/>
      <protection locked="0"/>
    </xf>
    <xf numFmtId="0" fontId="33" fillId="0" borderId="3" xfId="0" applyFont="1" applyBorder="1" applyAlignment="1" applyProtection="1">
      <alignment horizontal="center"/>
      <protection locked="0"/>
    </xf>
    <xf numFmtId="0" fontId="34" fillId="0" borderId="14" xfId="0" applyFont="1" applyBorder="1"/>
    <xf numFmtId="0" fontId="33" fillId="0" borderId="95" xfId="0" applyFont="1" applyBorder="1" applyAlignment="1">
      <alignment horizontal="left"/>
    </xf>
    <xf numFmtId="191" fontId="33" fillId="0" borderId="97" xfId="0" applyNumberFormat="1" applyFont="1" applyBorder="1" applyAlignment="1" applyProtection="1">
      <alignment horizontal="left"/>
      <protection locked="0"/>
    </xf>
    <xf numFmtId="191" fontId="33" fillId="0" borderId="99" xfId="0" applyNumberFormat="1" applyFont="1" applyBorder="1" applyAlignment="1" applyProtection="1">
      <alignment horizontal="left"/>
      <protection locked="0"/>
    </xf>
    <xf numFmtId="185" fontId="33" fillId="0" borderId="98" xfId="0" applyNumberFormat="1" applyFont="1" applyBorder="1" applyAlignment="1" applyProtection="1">
      <alignment horizontal="center"/>
      <protection locked="0"/>
    </xf>
    <xf numFmtId="185" fontId="33" fillId="0" borderId="97" xfId="0" applyNumberFormat="1" applyFont="1" applyBorder="1" applyAlignment="1" applyProtection="1">
      <alignment horizontal="center"/>
      <protection locked="0"/>
    </xf>
    <xf numFmtId="0" fontId="34" fillId="0" borderId="0" xfId="0" applyFont="1"/>
    <xf numFmtId="0" fontId="46" fillId="0" borderId="0" xfId="0" applyFont="1" applyAlignment="1">
      <alignment horizontal="left"/>
    </xf>
    <xf numFmtId="190" fontId="33" fillId="7" borderId="22" xfId="0" applyNumberFormat="1" applyFont="1" applyFill="1" applyBorder="1" applyAlignment="1" applyProtection="1">
      <alignment horizontal="center" vertical="center"/>
      <protection locked="0"/>
    </xf>
    <xf numFmtId="190" fontId="33" fillId="7" borderId="4" xfId="0" applyNumberFormat="1" applyFont="1" applyFill="1" applyBorder="1" applyAlignment="1" applyProtection="1">
      <alignment horizontal="center" vertical="center"/>
      <protection locked="0"/>
    </xf>
    <xf numFmtId="0" fontId="33" fillId="0" borderId="10" xfId="0" applyFont="1" applyBorder="1" applyProtection="1">
      <protection locked="0"/>
    </xf>
    <xf numFmtId="0" fontId="16" fillId="0" borderId="4" xfId="0" applyFont="1" applyBorder="1" applyAlignment="1" applyProtection="1">
      <alignment horizontal="left" vertical="top"/>
      <protection locked="0"/>
    </xf>
    <xf numFmtId="0" fontId="16" fillId="0" borderId="12" xfId="0" applyFont="1" applyBorder="1" applyAlignment="1" applyProtection="1">
      <alignment horizontal="left" vertical="top"/>
      <protection locked="0"/>
    </xf>
    <xf numFmtId="0" fontId="16" fillId="0" borderId="14" xfId="0" applyFont="1" applyBorder="1" applyAlignment="1" applyProtection="1">
      <alignment horizontal="left" vertical="top"/>
      <protection locked="0"/>
    </xf>
    <xf numFmtId="0" fontId="16" fillId="0" borderId="0" xfId="0" applyFont="1" applyAlignment="1" applyProtection="1">
      <alignment horizontal="left" vertical="top"/>
      <protection locked="0"/>
    </xf>
    <xf numFmtId="0" fontId="16" fillId="0" borderId="13" xfId="0" applyFont="1" applyBorder="1" applyAlignment="1" applyProtection="1">
      <alignment horizontal="left" vertical="top"/>
      <protection locked="0"/>
    </xf>
    <xf numFmtId="0" fontId="16" fillId="0" borderId="7" xfId="0" applyFont="1" applyBorder="1" applyAlignment="1" applyProtection="1">
      <alignment horizontal="left" vertical="top"/>
      <protection locked="0"/>
    </xf>
    <xf numFmtId="0" fontId="16" fillId="0" borderId="5" xfId="0" applyFont="1" applyBorder="1" applyAlignment="1" applyProtection="1">
      <alignment horizontal="left" vertical="top"/>
      <protection locked="0"/>
    </xf>
    <xf numFmtId="0" fontId="16" fillId="0" borderId="8" xfId="0" applyFont="1" applyBorder="1" applyAlignment="1" applyProtection="1">
      <alignment horizontal="left" vertical="top"/>
      <protection locked="0"/>
    </xf>
    <xf numFmtId="181" fontId="33" fillId="0" borderId="10" xfId="0" applyNumberFormat="1" applyFont="1" applyBorder="1" applyAlignment="1" applyProtection="1">
      <alignment horizontal="center"/>
      <protection locked="0"/>
    </xf>
    <xf numFmtId="0" fontId="8" fillId="0" borderId="3" xfId="3" applyFont="1" applyBorder="1" applyAlignment="1">
      <alignment horizontal="center" vertical="center"/>
    </xf>
    <xf numFmtId="0" fontId="8" fillId="0" borderId="118" xfId="3" applyFont="1" applyBorder="1" applyAlignment="1">
      <alignment horizontal="center" vertical="center"/>
    </xf>
    <xf numFmtId="0" fontId="33" fillId="0" borderId="146" xfId="0" applyFont="1" applyBorder="1" applyAlignment="1">
      <alignment horizontal="center"/>
    </xf>
    <xf numFmtId="0" fontId="16" fillId="12" borderId="145" xfId="0" applyFont="1" applyFill="1" applyBorder="1" applyAlignment="1" applyProtection="1">
      <alignment horizontal="center"/>
      <protection locked="0"/>
    </xf>
    <xf numFmtId="0" fontId="52" fillId="0" borderId="0" xfId="0" applyFont="1" applyAlignment="1">
      <alignment horizontal="left"/>
    </xf>
    <xf numFmtId="0" fontId="53" fillId="0" borderId="0" xfId="0" applyFont="1"/>
    <xf numFmtId="0" fontId="16" fillId="0" borderId="87" xfId="0" applyFont="1" applyBorder="1" applyAlignment="1">
      <alignment horizontal="center"/>
    </xf>
    <xf numFmtId="0" fontId="33" fillId="0" borderId="31" xfId="0" applyFont="1" applyBorder="1" applyAlignment="1" applyProtection="1">
      <alignment horizontal="center" vertical="center"/>
      <protection locked="0"/>
    </xf>
    <xf numFmtId="0" fontId="33" fillId="0" borderId="49" xfId="0" applyFont="1" applyBorder="1" applyAlignment="1" applyProtection="1">
      <alignment horizontal="center" vertical="center"/>
      <protection locked="0"/>
    </xf>
    <xf numFmtId="0" fontId="33" fillId="0" borderId="87" xfId="0" applyFont="1" applyBorder="1" applyAlignment="1" applyProtection="1">
      <alignment horizontal="center" vertical="center"/>
      <protection locked="0"/>
    </xf>
    <xf numFmtId="0" fontId="33" fillId="0" borderId="44" xfId="0" applyFont="1" applyBorder="1" applyAlignment="1" applyProtection="1">
      <alignment horizontal="center" vertical="center"/>
      <protection locked="0"/>
    </xf>
    <xf numFmtId="0" fontId="33" fillId="0" borderId="45" xfId="0" applyFont="1" applyBorder="1" applyAlignment="1" applyProtection="1">
      <alignment horizontal="center" vertical="center"/>
      <protection locked="0"/>
    </xf>
    <xf numFmtId="0" fontId="33" fillId="0" borderId="42" xfId="0" applyFont="1" applyBorder="1" applyAlignment="1" applyProtection="1">
      <alignment horizontal="center" vertical="center"/>
      <protection locked="0"/>
    </xf>
    <xf numFmtId="0" fontId="33" fillId="0" borderId="33" xfId="0" applyFont="1" applyBorder="1" applyAlignment="1" applyProtection="1">
      <alignment horizontal="center" vertical="center"/>
      <protection locked="0"/>
    </xf>
    <xf numFmtId="0" fontId="33" fillId="0" borderId="67" xfId="0" applyFont="1" applyBorder="1" applyAlignment="1" applyProtection="1">
      <alignment horizontal="center" vertical="center"/>
      <protection locked="0"/>
    </xf>
    <xf numFmtId="0" fontId="33" fillId="0" borderId="152" xfId="0" applyFont="1" applyBorder="1" applyAlignment="1" applyProtection="1">
      <alignment horizontal="center" vertical="center"/>
      <protection locked="0"/>
    </xf>
    <xf numFmtId="203" fontId="33" fillId="0" borderId="75" xfId="0" applyNumberFormat="1" applyFont="1" applyBorder="1" applyAlignment="1" applyProtection="1">
      <alignment horizontal="center"/>
      <protection locked="0"/>
    </xf>
    <xf numFmtId="203" fontId="33" fillId="0" borderId="3" xfId="0" applyNumberFormat="1" applyFont="1" applyBorder="1" applyAlignment="1" applyProtection="1">
      <alignment horizontal="center"/>
      <protection locked="0"/>
    </xf>
    <xf numFmtId="203" fontId="33" fillId="0" borderId="162" xfId="0" applyNumberFormat="1" applyFont="1" applyBorder="1" applyAlignment="1" applyProtection="1">
      <alignment horizontal="center"/>
      <protection locked="0"/>
    </xf>
    <xf numFmtId="203" fontId="33" fillId="0" borderId="64" xfId="0" applyNumberFormat="1" applyFont="1" applyBorder="1" applyAlignment="1" applyProtection="1">
      <alignment horizontal="center"/>
      <protection locked="0"/>
    </xf>
    <xf numFmtId="203" fontId="33" fillId="0" borderId="100" xfId="0" applyNumberFormat="1" applyFont="1" applyBorder="1" applyAlignment="1" applyProtection="1">
      <alignment horizontal="center"/>
      <protection locked="0"/>
    </xf>
    <xf numFmtId="203" fontId="33" fillId="0" borderId="161" xfId="0" applyNumberFormat="1" applyFont="1" applyBorder="1" applyAlignment="1" applyProtection="1">
      <alignment horizontal="center"/>
      <protection locked="0"/>
    </xf>
    <xf numFmtId="0" fontId="0" fillId="13" borderId="30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3" borderId="13" xfId="0" applyFill="1" applyBorder="1" applyAlignment="1">
      <alignment horizontal="center"/>
    </xf>
    <xf numFmtId="169" fontId="33" fillId="0" borderId="0" xfId="0" applyNumberFormat="1" applyFont="1"/>
    <xf numFmtId="169" fontId="33" fillId="0" borderId="13" xfId="0" applyNumberFormat="1" applyFont="1" applyBorder="1"/>
    <xf numFmtId="10" fontId="16" fillId="12" borderId="27" xfId="0" applyNumberFormat="1" applyFont="1" applyFill="1" applyBorder="1" applyAlignment="1" applyProtection="1">
      <alignment horizontal="center"/>
      <protection locked="0"/>
    </xf>
    <xf numFmtId="10" fontId="16" fillId="0" borderId="63" xfId="0" applyNumberFormat="1" applyFont="1" applyBorder="1" applyAlignment="1" applyProtection="1">
      <alignment horizontal="center"/>
      <protection locked="0"/>
    </xf>
    <xf numFmtId="0" fontId="16" fillId="0" borderId="63" xfId="0" applyFont="1" applyBorder="1" applyAlignment="1" applyProtection="1">
      <alignment horizontal="center"/>
      <protection locked="0"/>
    </xf>
    <xf numFmtId="0" fontId="16" fillId="0" borderId="0" xfId="0" applyFont="1" applyAlignment="1">
      <alignment horizontal="left"/>
    </xf>
    <xf numFmtId="173" fontId="15" fillId="0" borderId="22" xfId="0" applyNumberFormat="1" applyFont="1" applyBorder="1" applyAlignment="1">
      <alignment horizontal="left" vertical="center"/>
    </xf>
    <xf numFmtId="173" fontId="15" fillId="0" borderId="4" xfId="0" applyNumberFormat="1" applyFont="1" applyBorder="1" applyAlignment="1">
      <alignment horizontal="left" vertical="center"/>
    </xf>
    <xf numFmtId="173" fontId="15" fillId="0" borderId="12" xfId="0" applyNumberFormat="1" applyFont="1" applyBorder="1" applyAlignment="1">
      <alignment horizontal="left" vertical="center"/>
    </xf>
    <xf numFmtId="49" fontId="10" fillId="0" borderId="84" xfId="0" applyNumberFormat="1" applyFont="1" applyBorder="1" applyAlignment="1">
      <alignment horizontal="center" vertical="center"/>
    </xf>
    <xf numFmtId="0" fontId="10" fillId="0" borderId="85" xfId="0" applyFont="1" applyBorder="1" applyAlignment="1">
      <alignment horizontal="center" vertical="center"/>
    </xf>
    <xf numFmtId="0" fontId="10" fillId="0" borderId="86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10" fillId="0" borderId="22" xfId="0" applyFont="1" applyBorder="1" applyAlignment="1" applyProtection="1">
      <alignment horizontal="left" vertical="top" wrapText="1"/>
      <protection locked="0"/>
    </xf>
    <xf numFmtId="0" fontId="10" fillId="0" borderId="4" xfId="0" applyFont="1" applyBorder="1" applyAlignment="1" applyProtection="1">
      <alignment horizontal="left" vertical="top" wrapText="1"/>
      <protection locked="0"/>
    </xf>
    <xf numFmtId="0" fontId="10" fillId="0" borderId="12" xfId="0" applyFont="1" applyBorder="1" applyAlignment="1" applyProtection="1">
      <alignment horizontal="left" vertical="top" wrapText="1"/>
      <protection locked="0"/>
    </xf>
    <xf numFmtId="0" fontId="10" fillId="0" borderId="14" xfId="0" applyFont="1" applyBorder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horizontal="left" vertical="top" wrapText="1"/>
      <protection locked="0"/>
    </xf>
    <xf numFmtId="0" fontId="10" fillId="0" borderId="13" xfId="0" applyFont="1" applyBorder="1" applyAlignment="1" applyProtection="1">
      <alignment horizontal="left" vertical="top" wrapText="1"/>
      <protection locked="0"/>
    </xf>
    <xf numFmtId="0" fontId="10" fillId="0" borderId="7" xfId="0" applyFont="1" applyBorder="1" applyAlignment="1" applyProtection="1">
      <alignment horizontal="left" vertical="top" wrapText="1"/>
      <protection locked="0"/>
    </xf>
    <xf numFmtId="0" fontId="10" fillId="0" borderId="5" xfId="0" applyFont="1" applyBorder="1" applyAlignment="1" applyProtection="1">
      <alignment horizontal="left" vertical="top" wrapText="1"/>
      <protection locked="0"/>
    </xf>
    <xf numFmtId="0" fontId="10" fillId="0" borderId="8" xfId="0" applyFont="1" applyBorder="1" applyAlignment="1" applyProtection="1">
      <alignment horizontal="left" vertical="top" wrapText="1"/>
      <protection locked="0"/>
    </xf>
  </cellXfs>
  <cellStyles count="4">
    <cellStyle name="Formular_Titel" xfId="1" xr:uid="{00000000-0005-0000-0000-000000000000}"/>
    <cellStyle name="Normal" xfId="0" builtinId="0"/>
    <cellStyle name="Normal 2" xfId="3" xr:uid="{00000000-0005-0000-0000-000002000000}"/>
    <cellStyle name="Tabellen_Titel" xfId="2" xr:uid="{00000000-0005-0000-0000-000003000000}"/>
  </cellStyles>
  <dxfs count="72"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>
          <fgColor theme="1"/>
          <bgColor theme="0"/>
        </patternFill>
      </fill>
    </dxf>
    <dxf>
      <fill>
        <patternFill patternType="gray125">
          <fgColor theme="1"/>
          <bgColor theme="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theme="5" tint="0.59996337778862885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ont>
        <strike val="0"/>
      </font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ont>
        <color auto="1"/>
      </font>
      <numFmt numFmtId="30" formatCode="@"/>
      <fill>
        <patternFill patternType="gray125"/>
      </fill>
    </dxf>
    <dxf>
      <font>
        <color auto="1"/>
      </font>
      <numFmt numFmtId="30" formatCode="@"/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ont>
        <color auto="1"/>
      </font>
      <numFmt numFmtId="30" formatCode="@"/>
      <fill>
        <patternFill patternType="gray125"/>
      </fill>
    </dxf>
    <dxf>
      <font>
        <color auto="1"/>
      </font>
      <numFmt numFmtId="30" formatCode="@"/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65232807844051"/>
          <c:y val="0.19516542212666221"/>
          <c:w val="0.82296137339055797"/>
          <c:h val="0.5774661125158462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Siegelpunkt!$P$6:$P$19</c:f>
              <c:numCache>
                <c:formatCode>0.000\ "g"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3-4CB9-90D6-1082096CA5F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Siegelpunkt!$Q$6:$Q$19</c:f>
              <c:numCache>
                <c:formatCode>0.000\ "g"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73-4CB9-90D6-1082096CA5F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Siegelpunkt!$R$6:$R$19</c:f>
              <c:numCache>
                <c:formatCode>0.000\ "g"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73-4CB9-90D6-1082096CA5F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val>
            <c:numRef>
              <c:f>Siegelpunkt!$S$6:$S$19</c:f>
              <c:numCache>
                <c:formatCode>0.000\ "g"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73-4CB9-90D6-1082096CA5F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val>
            <c:numRef>
              <c:f>Siegelpunkt!$T$6:$T$19</c:f>
              <c:numCache>
                <c:formatCode>0.000\ "g"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73-4CB9-90D6-1082096CA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651456"/>
        <c:axId val="111665920"/>
      </c:lineChart>
      <c:catAx>
        <c:axId val="11165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CH"/>
                  <a:t>Nachdruckzeit in sek.</a:t>
                </a:r>
              </a:p>
              <a:p>
                <a:pPr>
                  <a:defRPr sz="15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CH"/>
                  <a:t>cooling</a:t>
                </a:r>
                <a:r>
                  <a:rPr lang="de-CH" baseline="0"/>
                  <a:t> time in seconds</a:t>
                </a:r>
                <a:endParaRPr lang="de-CH"/>
              </a:p>
            </c:rich>
          </c:tx>
          <c:layout>
            <c:manualLayout>
              <c:xMode val="edge"/>
              <c:yMode val="edge"/>
              <c:x val="0.42863866646690307"/>
              <c:y val="0.878265343677058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66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665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CH"/>
                  <a:t>Schussgewicht ohne Anguss</a:t>
                </a:r>
              </a:p>
              <a:p>
                <a:pPr>
                  <a:defRPr sz="15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CH"/>
                  <a:t>shot weight</a:t>
                </a:r>
                <a:r>
                  <a:rPr lang="de-CH" baseline="0"/>
                  <a:t> without sprue</a:t>
                </a:r>
                <a:endParaRPr lang="de-CH"/>
              </a:p>
            </c:rich>
          </c:tx>
          <c:layout>
            <c:manualLayout>
              <c:xMode val="edge"/>
              <c:yMode val="edge"/>
              <c:x val="8.6353370733520895E-4"/>
              <c:y val="0.170400528808437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\ &quot;g&quot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6514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10111223458039"/>
          <c:y val="0.18292682926829268"/>
          <c:w val="0.86552072800808899"/>
          <c:h val="0.66920731707317072"/>
        </c:manualLayout>
      </c:layout>
      <c:lineChart>
        <c:grouping val="standard"/>
        <c:varyColors val="0"/>
        <c:ser>
          <c:idx val="1"/>
          <c:order val="0"/>
          <c:tx>
            <c:strRef>
              <c:f>'25-Schussanalyse'!$C$6</c:f>
              <c:strCache>
                <c:ptCount val="1"/>
                <c:pt idx="0">
                  <c:v>OTG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'25-Schussanalyse'!$A$7:$A$31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'25-Schussanalyse'!$C$7:$C$31</c:f>
              <c:numCache>
                <c:formatCode>0.000\ "g"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E3-4F5A-88FD-3A43AD27C07F}"/>
            </c:ext>
          </c:extLst>
        </c:ser>
        <c:ser>
          <c:idx val="0"/>
          <c:order val="1"/>
          <c:tx>
            <c:strRef>
              <c:f>'25-Schussanalyse'!$B$6</c:f>
              <c:strCache>
                <c:ptCount val="1"/>
                <c:pt idx="0">
                  <c:v>Gewicht [g]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pPr>
              <a:solidFill>
                <a:srgbClr val="000080"/>
              </a:solidFill>
            </c:spPr>
          </c:marker>
          <c:cat>
            <c:numRef>
              <c:f>'25-Schussanalyse'!$A$7:$A$31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'25-Schussanalyse'!$B$7:$B$31</c:f>
              <c:numCache>
                <c:formatCode>0.000</c:formatCode>
                <c:ptCount val="2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1E3-4F5A-88FD-3A43AD27C07F}"/>
            </c:ext>
          </c:extLst>
        </c:ser>
        <c:ser>
          <c:idx val="2"/>
          <c:order val="2"/>
          <c:tx>
            <c:strRef>
              <c:f>'25-Schussanalyse'!$D$6</c:f>
              <c:strCache>
                <c:ptCount val="1"/>
                <c:pt idx="0">
                  <c:v>UTG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'25-Schussanalyse'!$A$7:$A$31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'25-Schussanalyse'!$D$7:$D$31</c:f>
              <c:numCache>
                <c:formatCode>0.000\ "g"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E3-4F5A-88FD-3A43AD27C07F}"/>
            </c:ext>
          </c:extLst>
        </c:ser>
        <c:ser>
          <c:idx val="3"/>
          <c:order val="3"/>
          <c:tx>
            <c:strRef>
              <c:f>'25-Schussanalyse'!$E$6</c:f>
              <c:strCache>
                <c:ptCount val="1"/>
                <c:pt idx="0">
                  <c:v>M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val>
            <c:numRef>
              <c:f>'25-Schussanalyse'!$E$7:$E$31</c:f>
              <c:numCache>
                <c:formatCode>0.000\ "g"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E3-4F5A-88FD-3A43AD27C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853952"/>
        <c:axId val="111855488"/>
      </c:lineChart>
      <c:catAx>
        <c:axId val="111853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855488"/>
        <c:crosses val="autoZero"/>
        <c:auto val="1"/>
        <c:lblAlgn val="ctr"/>
        <c:lblOffset val="100"/>
        <c:noMultiLvlLbl val="0"/>
      </c:catAx>
      <c:valAx>
        <c:axId val="111855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\ &quot;g&quot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8539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CheckBox" checked="Checked" lockText="1" noThreeD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1165860</xdr:colOff>
          <xdr:row>3</xdr:row>
          <xdr:rowOff>114300</xdr:rowOff>
        </xdr:from>
        <xdr:to>
          <xdr:col>5</xdr:col>
          <xdr:colOff>1440180</xdr:colOff>
          <xdr:row>6</xdr:row>
          <xdr:rowOff>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speichern/save</a:t>
              </a:r>
            </a:p>
            <a:p>
              <a:pPr algn="ctr" rtl="0">
                <a:defRPr sz="1000"/>
              </a:pPr>
              <a:endParaRPr lang="de-CH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388620</xdr:colOff>
          <xdr:row>3</xdr:row>
          <xdr:rowOff>68580</xdr:rowOff>
        </xdr:from>
        <xdr:to>
          <xdr:col>10</xdr:col>
          <xdr:colOff>274320</xdr:colOff>
          <xdr:row>6</xdr:row>
          <xdr:rowOff>114300</xdr:rowOff>
        </xdr:to>
        <xdr:sp macro="" textlink="">
          <xdr:nvSpPr>
            <xdr:cNvPr id="3135" name="ComboBox2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11</xdr:col>
      <xdr:colOff>0</xdr:colOff>
      <xdr:row>9</xdr:row>
      <xdr:rowOff>0</xdr:rowOff>
    </xdr:to>
    <xdr:sp macro="" textlink="" fLocksText="0">
      <xdr:nvSpPr>
        <xdr:cNvPr id="13324" name="Text Box 12">
          <a:extLst>
            <a:ext uri="{FF2B5EF4-FFF2-40B4-BE49-F238E27FC236}">
              <a16:creationId xmlns:a16="http://schemas.microsoft.com/office/drawing/2014/main" id="{00000000-0008-0000-0100-00000C340000}"/>
            </a:ext>
          </a:extLst>
        </xdr:cNvPr>
        <xdr:cNvSpPr txBox="1">
          <a:spLocks noChangeArrowheads="1"/>
        </xdr:cNvSpPr>
      </xdr:nvSpPr>
      <xdr:spPr bwMode="auto">
        <a:xfrm>
          <a:off x="14401800" y="1657350"/>
          <a:ext cx="0" cy="819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11</xdr:col>
      <xdr:colOff>0</xdr:colOff>
      <xdr:row>9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428" name="Line 14">
          <a:extLst>
            <a:ext uri="{FF2B5EF4-FFF2-40B4-BE49-F238E27FC236}">
              <a16:creationId xmlns:a16="http://schemas.microsoft.com/office/drawing/2014/main" id="{00000000-0008-0000-0100-000074340000}"/>
            </a:ext>
          </a:extLst>
        </xdr:cNvPr>
        <xdr:cNvSpPr>
          <a:spLocks noChangeShapeType="1"/>
        </xdr:cNvSpPr>
      </xdr:nvSpPr>
      <xdr:spPr bwMode="auto">
        <a:xfrm flipH="1">
          <a:off x="26708100" y="2733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11</xdr:col>
      <xdr:colOff>0</xdr:colOff>
      <xdr:row>9</xdr:row>
      <xdr:rowOff>0</xdr:rowOff>
    </xdr:to>
    <xdr:sp macro="" textlink="" fLocksText="0">
      <xdr:nvSpPr>
        <xdr:cNvPr id="2" name="Text Box 1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26708100" y="1704975"/>
          <a:ext cx="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11</xdr:col>
      <xdr:colOff>0</xdr:colOff>
      <xdr:row>9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" name="Line 1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 flipH="1">
          <a:off x="26708100" y="2733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44</xdr:col>
          <xdr:colOff>121920</xdr:colOff>
          <xdr:row>5</xdr:row>
          <xdr:rowOff>7620</xdr:rowOff>
        </xdr:from>
        <xdr:to>
          <xdr:col>52</xdr:col>
          <xdr:colOff>121920</xdr:colOff>
          <xdr:row>7</xdr:row>
          <xdr:rowOff>175260</xdr:rowOff>
        </xdr:to>
        <xdr:sp macro="" textlink="">
          <xdr:nvSpPr>
            <xdr:cNvPr id="6234" name="Button 90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4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ODI 1&amp;5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54</xdr:col>
          <xdr:colOff>228600</xdr:colOff>
          <xdr:row>5</xdr:row>
          <xdr:rowOff>7620</xdr:rowOff>
        </xdr:from>
        <xdr:to>
          <xdr:col>61</xdr:col>
          <xdr:colOff>160020</xdr:colOff>
          <xdr:row>7</xdr:row>
          <xdr:rowOff>175260</xdr:rowOff>
        </xdr:to>
        <xdr:sp macro="" textlink="">
          <xdr:nvSpPr>
            <xdr:cNvPr id="6235" name="Button 91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4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ODI2</a:t>
              </a:r>
            </a:p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64</xdr:col>
          <xdr:colOff>114300</xdr:colOff>
          <xdr:row>4</xdr:row>
          <xdr:rowOff>190500</xdr:rowOff>
        </xdr:from>
        <xdr:to>
          <xdr:col>71</xdr:col>
          <xdr:colOff>68580</xdr:colOff>
          <xdr:row>7</xdr:row>
          <xdr:rowOff>144780</xdr:rowOff>
        </xdr:to>
        <xdr:sp macro="" textlink="">
          <xdr:nvSpPr>
            <xdr:cNvPr id="6236" name="Button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4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OII3</a:t>
              </a:r>
            </a:p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238125</xdr:colOff>
      <xdr:row>32</xdr:row>
      <xdr:rowOff>0</xdr:rowOff>
    </xdr:from>
    <xdr:to>
      <xdr:col>9</xdr:col>
      <xdr:colOff>238125</xdr:colOff>
      <xdr:row>32</xdr:row>
      <xdr:rowOff>0</xdr:rowOff>
    </xdr:to>
    <xdr:sp macro="" textlink="">
      <xdr:nvSpPr>
        <xdr:cNvPr id="7183" name="Text Box 15">
          <a:extLst>
            <a:ext uri="{FF2B5EF4-FFF2-40B4-BE49-F238E27FC236}">
              <a16:creationId xmlns:a16="http://schemas.microsoft.com/office/drawing/2014/main" id="{00000000-0008-0000-0500-00000F1C0000}"/>
            </a:ext>
          </a:extLst>
        </xdr:cNvPr>
        <xdr:cNvSpPr txBox="1">
          <a:spLocks noChangeArrowheads="1"/>
        </xdr:cNvSpPr>
      </xdr:nvSpPr>
      <xdr:spPr bwMode="auto">
        <a:xfrm>
          <a:off x="2219325" y="66294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de-CH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-/+</a:t>
          </a:r>
        </a:p>
      </xdr:txBody>
    </xdr:sp>
    <xdr:clientData/>
  </xdr:twoCellAnchor>
  <xdr:twoCellAnchor>
    <xdr:from>
      <xdr:col>9</xdr:col>
      <xdr:colOff>9525</xdr:colOff>
      <xdr:row>32</xdr:row>
      <xdr:rowOff>0</xdr:rowOff>
    </xdr:from>
    <xdr:to>
      <xdr:col>10</xdr:col>
      <xdr:colOff>9525</xdr:colOff>
      <xdr:row>32</xdr:row>
      <xdr:rowOff>0</xdr:rowOff>
    </xdr:to>
    <xdr:sp macro="" textlink="">
      <xdr:nvSpPr>
        <xdr:cNvPr id="7184" name="Text Box 16">
          <a:extLst>
            <a:ext uri="{FF2B5EF4-FFF2-40B4-BE49-F238E27FC236}">
              <a16:creationId xmlns:a16="http://schemas.microsoft.com/office/drawing/2014/main" id="{00000000-0008-0000-0500-0000101C0000}"/>
            </a:ext>
          </a:extLst>
        </xdr:cNvPr>
        <xdr:cNvSpPr txBox="1">
          <a:spLocks noChangeArrowheads="1"/>
        </xdr:cNvSpPr>
      </xdr:nvSpPr>
      <xdr:spPr bwMode="auto">
        <a:xfrm>
          <a:off x="2238375" y="66294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de-CH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-/+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66675</xdr:colOff>
      <xdr:row>6</xdr:row>
      <xdr:rowOff>228600</xdr:rowOff>
    </xdr:from>
    <xdr:to>
      <xdr:col>23</xdr:col>
      <xdr:colOff>142875</xdr:colOff>
      <xdr:row>7</xdr:row>
      <xdr:rowOff>114300</xdr:rowOff>
    </xdr:to>
    <xdr:sp macro="" textlink="">
      <xdr:nvSpPr>
        <xdr:cNvPr id="19538" name="Text Box 5">
          <a:extLst>
            <a:ext uri="{FF2B5EF4-FFF2-40B4-BE49-F238E27FC236}">
              <a16:creationId xmlns:a16="http://schemas.microsoft.com/office/drawing/2014/main" id="{00000000-0008-0000-0700-0000524C0000}"/>
            </a:ext>
          </a:extLst>
        </xdr:cNvPr>
        <xdr:cNvSpPr txBox="1">
          <a:spLocks noChangeArrowheads="1"/>
        </xdr:cNvSpPr>
      </xdr:nvSpPr>
      <xdr:spPr bwMode="auto">
        <a:xfrm>
          <a:off x="5762625" y="1762125"/>
          <a:ext cx="76200" cy="2000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66675</xdr:colOff>
      <xdr:row>4</xdr:row>
      <xdr:rowOff>19050</xdr:rowOff>
    </xdr:from>
    <xdr:to>
      <xdr:col>20</xdr:col>
      <xdr:colOff>238125</xdr:colOff>
      <xdr:row>8</xdr:row>
      <xdr:rowOff>304800</xdr:rowOff>
    </xdr:to>
    <xdr:sp macro="" textlink="" fLocksText="0">
      <xdr:nvSpPr>
        <xdr:cNvPr id="19462" name="Text Box 6">
          <a:extLst>
            <a:ext uri="{FF2B5EF4-FFF2-40B4-BE49-F238E27FC236}">
              <a16:creationId xmlns:a16="http://schemas.microsoft.com/office/drawing/2014/main" id="{00000000-0008-0000-0700-0000064C0000}"/>
            </a:ext>
          </a:extLst>
        </xdr:cNvPr>
        <xdr:cNvSpPr txBox="1">
          <a:spLocks noChangeArrowheads="1"/>
        </xdr:cNvSpPr>
      </xdr:nvSpPr>
      <xdr:spPr bwMode="auto">
        <a:xfrm>
          <a:off x="66675" y="910590"/>
          <a:ext cx="5200650" cy="15354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CH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Bemerkungen/remarks:</a:t>
          </a:r>
        </a:p>
        <a:p>
          <a:pPr algn="l" rtl="0">
            <a:defRPr sz="1000"/>
          </a:pPr>
          <a:r>
            <a:rPr lang="de-CH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Beispiel: </a:t>
          </a:r>
          <a:r>
            <a:rPr lang="de-CH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Einfallstellen am Bund durch "heisse Werkzeugkante"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CH" sz="1000" b="0" i="0" u="none" strike="noStrike" baseline="0">
              <a:solidFill>
                <a:srgbClr val="FF0000"/>
              </a:solidFill>
              <a:latin typeface="Arial"/>
              <a:ea typeface="+mn-ea"/>
              <a:cs typeface="Arial"/>
            </a:rPr>
            <a:t>Example: </a:t>
          </a:r>
          <a:r>
            <a:rPr lang="de-CH" sz="1000" b="0" i="0" u="none" strike="noStrike" baseline="0">
              <a:solidFill>
                <a:sysClr val="windowText" lastClr="000000"/>
              </a:solidFill>
              <a:latin typeface="Arial"/>
              <a:ea typeface="+mn-ea"/>
              <a:cs typeface="Arial"/>
            </a:rPr>
            <a:t>sink marks at the bottom caused by high temperature in that area</a:t>
          </a:r>
          <a:endParaRPr lang="de-CH" sz="1000" b="0" i="0" u="none" strike="noStrike" baseline="0">
            <a:solidFill>
              <a:sysClr val="windowText" lastClr="000000"/>
            </a:solidFill>
            <a:latin typeface="Arial"/>
            <a:cs typeface="Arial"/>
          </a:endParaRPr>
        </a:p>
      </xdr:txBody>
    </xdr: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47625</xdr:rowOff>
    </xdr:from>
    <xdr:to>
      <xdr:col>35</xdr:col>
      <xdr:colOff>209550</xdr:colOff>
      <xdr:row>40</xdr:row>
      <xdr:rowOff>123825</xdr:rowOff>
    </xdr:to>
    <xdr:graphicFrame macro="">
      <xdr:nvGraphicFramePr>
        <xdr:cNvPr id="9321" name="Chart 29">
          <a:extLst>
            <a:ext uri="{FF2B5EF4-FFF2-40B4-BE49-F238E27FC236}">
              <a16:creationId xmlns:a16="http://schemas.microsoft.com/office/drawing/2014/main" id="{00000000-0008-0000-0800-0000692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46</xdr:row>
      <xdr:rowOff>99060</xdr:rowOff>
    </xdr:from>
    <xdr:to>
      <xdr:col>34</xdr:col>
      <xdr:colOff>200025</xdr:colOff>
      <xdr:row>54</xdr:row>
      <xdr:rowOff>205740</xdr:rowOff>
    </xdr:to>
    <xdr:sp macro="" textlink="">
      <xdr:nvSpPr>
        <xdr:cNvPr id="9247" name="Text Box 31">
          <a:extLst>
            <a:ext uri="{FF2B5EF4-FFF2-40B4-BE49-F238E27FC236}">
              <a16:creationId xmlns:a16="http://schemas.microsoft.com/office/drawing/2014/main" id="{00000000-0008-0000-0800-00001F240000}"/>
            </a:ext>
          </a:extLst>
        </xdr:cNvPr>
        <xdr:cNvSpPr txBox="1">
          <a:spLocks noChangeArrowheads="1"/>
        </xdr:cNvSpPr>
      </xdr:nvSpPr>
      <xdr:spPr bwMode="auto">
        <a:xfrm>
          <a:off x="0" y="11772900"/>
          <a:ext cx="8749665" cy="18135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de-CH" sz="1200" b="0" i="0" u="sng" strike="noStrike" baseline="0">
              <a:solidFill>
                <a:srgbClr val="000000"/>
              </a:solidFill>
              <a:latin typeface="Arial"/>
              <a:cs typeface="Arial"/>
            </a:rPr>
            <a:t>Achtung:</a:t>
          </a: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de-CH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Bei Kaltkanal ist bei Gewichtszunahme &gt;  0.05% die Siegelpunktbestimmung abgeschlossen.</a:t>
          </a:r>
        </a:p>
        <a:p>
          <a:pPr algn="l" rtl="0">
            <a:defRPr sz="1000"/>
          </a:pPr>
          <a:r>
            <a:rPr lang="de-CH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Bei Heisskanalsystemen ist keine klassische Siegelpunktbestimmung möglich, hier gilt als Faustregel </a:t>
          </a:r>
          <a:r>
            <a:rPr lang="de-CH" sz="1200" b="0" i="0" u="none" strike="noStrike" baseline="3000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de-CH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/</a:t>
          </a:r>
          <a:r>
            <a:rPr lang="de-CH" sz="12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2 </a:t>
          </a:r>
          <a:r>
            <a:rPr lang="de-CH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der theoretischen Kühlzeit (s</a:t>
          </a:r>
          <a:r>
            <a:rPr lang="de-CH" sz="1200" b="0" i="0" u="none" strike="noStrike" baseline="30000">
              <a:solidFill>
                <a:srgbClr val="000000"/>
              </a:solidFill>
              <a:latin typeface="Arial"/>
              <a:cs typeface="Arial"/>
            </a:rPr>
            <a:t>2</a:t>
          </a:r>
          <a:r>
            <a:rPr lang="de-CH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+2s) als Nachdruckzeit.  Beispiel Wandstärke 3mm = 7.5 sek Nachdruck</a:t>
          </a:r>
        </a:p>
        <a:p>
          <a:pPr algn="l" rtl="0">
            <a:defRPr sz="1000"/>
          </a:pPr>
          <a:endParaRPr lang="de-CH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rtl="0"/>
          <a:r>
            <a:rPr lang="de-CH" sz="1100" b="0" i="0" u="sng" baseline="0">
              <a:effectLst/>
              <a:latin typeface="+mn-lt"/>
              <a:ea typeface="+mn-ea"/>
              <a:cs typeface="+mn-cs"/>
            </a:rPr>
            <a:t>please note:</a:t>
          </a:r>
          <a:endParaRPr lang="en-US" sz="1000">
            <a:effectLst/>
          </a:endParaRPr>
        </a:p>
        <a:p>
          <a:pPr rtl="0"/>
          <a:r>
            <a:rPr lang="de-CH" sz="1100" b="0" i="0" baseline="0">
              <a:effectLst/>
              <a:latin typeface="+mn-lt"/>
              <a:ea typeface="+mn-ea"/>
              <a:cs typeface="+mn-cs"/>
            </a:rPr>
            <a:t>if it is a cold runner mold, the gate sealing point will be reached if the weight doesn't increase more than 0.05% .</a:t>
          </a:r>
          <a:endParaRPr lang="en-US" sz="1000">
            <a:effectLst/>
          </a:endParaRPr>
        </a:p>
        <a:p>
          <a:pPr rtl="0"/>
          <a:r>
            <a:rPr lang="de-CH" sz="1100" b="0" i="0" baseline="0">
              <a:effectLst/>
              <a:latin typeface="+mn-lt"/>
              <a:ea typeface="+mn-ea"/>
              <a:cs typeface="+mn-cs"/>
            </a:rPr>
            <a:t>if it is a hotrunner mold take, use the following formula: the half of the theoretical cooling time (s2+2s) is the holding pressure time.  for example: wall thickness 3mm = 7.5 sec holding pressure time</a:t>
          </a:r>
          <a:endParaRPr lang="en-US" sz="1000">
            <a:effectLst/>
          </a:endParaRPr>
        </a:p>
        <a:p>
          <a:pPr algn="l" rtl="0">
            <a:defRPr sz="1000"/>
          </a:pPr>
          <a:endParaRPr lang="de-CH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27213</xdr:colOff>
      <xdr:row>31</xdr:row>
      <xdr:rowOff>190499</xdr:rowOff>
    </xdr:from>
    <xdr:to>
      <xdr:col>29</xdr:col>
      <xdr:colOff>27213</xdr:colOff>
      <xdr:row>61</xdr:row>
      <xdr:rowOff>157842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238125</xdr:colOff>
      <xdr:row>68</xdr:row>
      <xdr:rowOff>19050</xdr:rowOff>
    </xdr:from>
    <xdr:to>
      <xdr:col>20</xdr:col>
      <xdr:colOff>47625</xdr:colOff>
      <xdr:row>69</xdr:row>
      <xdr:rowOff>0</xdr:rowOff>
    </xdr:to>
    <xdr:sp macro="" textlink="">
      <xdr:nvSpPr>
        <xdr:cNvPr id="6" name="Line 3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ShapeType="1"/>
        </xdr:cNvSpPr>
      </xdr:nvSpPr>
      <xdr:spPr bwMode="auto">
        <a:xfrm flipH="1">
          <a:off x="4733925" y="13277850"/>
          <a:ext cx="5715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44</xdr:col>
          <xdr:colOff>7620</xdr:colOff>
          <xdr:row>3</xdr:row>
          <xdr:rowOff>99060</xdr:rowOff>
        </xdr:from>
        <xdr:to>
          <xdr:col>50</xdr:col>
          <xdr:colOff>160020</xdr:colOff>
          <xdr:row>5</xdr:row>
          <xdr:rowOff>83820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A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de-CH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66</xdr:col>
          <xdr:colOff>0</xdr:colOff>
          <xdr:row>42</xdr:row>
          <xdr:rowOff>68580</xdr:rowOff>
        </xdr:from>
        <xdr:to>
          <xdr:col>69</xdr:col>
          <xdr:colOff>114300</xdr:colOff>
          <xdr:row>43</xdr:row>
          <xdr:rowOff>99060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A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de-CH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Infos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327660</xdr:colOff>
          <xdr:row>57</xdr:row>
          <xdr:rowOff>38100</xdr:rowOff>
        </xdr:from>
        <xdr:to>
          <xdr:col>36</xdr:col>
          <xdr:colOff>220980</xdr:colOff>
          <xdr:row>57</xdr:row>
          <xdr:rowOff>182880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A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5400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Arbeitshinweis vorhanden / special instructions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drawing" Target="../drawings/drawing1.xml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2.v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6.v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vmlDrawing" Target="../drawings/vmlDrawing7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10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12.vml"/><Relationship Id="rId4" Type="http://schemas.openxmlformats.org/officeDocument/2006/relationships/vmlDrawing" Target="../drawings/vmlDrawing11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1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Q100"/>
  <sheetViews>
    <sheetView showGridLines="0" zoomScale="86" zoomScaleNormal="86" zoomScalePageLayoutView="82" workbookViewId="0">
      <selection activeCell="F2" sqref="F2"/>
    </sheetView>
  </sheetViews>
  <sheetFormatPr defaultColWidth="11.44140625" defaultRowHeight="13.2" x14ac:dyDescent="0.25"/>
  <cols>
    <col min="1" max="1" width="20.5546875" bestFit="1" customWidth="1"/>
    <col min="2" max="2" width="26.6640625" customWidth="1"/>
    <col min="3" max="3" width="20.109375" customWidth="1"/>
    <col min="4" max="4" width="23.5546875" customWidth="1"/>
    <col min="5" max="5" width="18.88671875" bestFit="1" customWidth="1"/>
    <col min="6" max="6" width="23.5546875" customWidth="1"/>
  </cols>
  <sheetData>
    <row r="1" spans="1:17" ht="16.2" thickBot="1" x14ac:dyDescent="0.35">
      <c r="A1" s="71"/>
      <c r="D1" s="358"/>
      <c r="E1" s="359"/>
    </row>
    <row r="2" spans="1:17" ht="14.4" thickTop="1" thickBot="1" x14ac:dyDescent="0.3">
      <c r="A2" s="72" t="s">
        <v>140</v>
      </c>
      <c r="B2" s="333"/>
      <c r="C2" s="73" t="str">
        <f>IF(Sprache="English","mold number",IF(Sprache="Deutsch","Werkzeugnummer",""))</f>
        <v>Werkzeugnummer</v>
      </c>
      <c r="D2" s="335"/>
      <c r="E2" s="94" t="str">
        <f>IF(Sprache="English","article description",IF(Sprache="Deutsch","Artikelbezeichnung",""))</f>
        <v>Artikelbezeichnung</v>
      </c>
      <c r="F2" s="357"/>
    </row>
    <row r="3" spans="1:17" ht="13.8" thickBot="1" x14ac:dyDescent="0.3">
      <c r="A3" s="74" t="str">
        <f>IF(Sprache="English","article",IF(Sprache="Deutsch","Artikel",""))</f>
        <v>Artikel</v>
      </c>
      <c r="B3" s="334"/>
      <c r="C3" s="75" t="str">
        <f>IF(Sprache="English","machine number",IF(Sprache="Deutsch","Maschinennummer",""))</f>
        <v>Maschinennummer</v>
      </c>
      <c r="D3" s="335"/>
      <c r="E3" s="94" t="str">
        <f>IF(Sprache="English","material 2nd comp.",IF(Sprache="Deutsch","Material 2. Komp.",""))</f>
        <v>Material 2. Komp.</v>
      </c>
      <c r="F3" s="337"/>
      <c r="G3" s="360" t="s">
        <v>111</v>
      </c>
      <c r="H3" s="360"/>
      <c r="I3" s="360" t="str">
        <f>B2&amp;"#"&amp;B5&amp;"#"&amp;"WE"&amp;D2&amp;"#"&amp;"AP"&amp;D3&amp;"#"&amp;D7&amp;"#"&amp;"#"&amp;"BM-Nr." &amp; B7</f>
        <v>##WE#AP###BM-Nr.</v>
      </c>
      <c r="J3" s="360"/>
      <c r="K3" s="360"/>
      <c r="L3" s="360"/>
      <c r="M3" s="361" t="s">
        <v>137</v>
      </c>
      <c r="N3" s="362"/>
      <c r="O3" s="363"/>
      <c r="Q3" s="205">
        <f>IF(M3="English",2,1)</f>
        <v>1</v>
      </c>
    </row>
    <row r="4" spans="1:17" x14ac:dyDescent="0.25">
      <c r="A4" s="74" t="str">
        <f>IF(Sprache="English","order number",IF(Sprache="Deutsch","Auftragsnummer",""))</f>
        <v>Auftragsnummer</v>
      </c>
      <c r="B4" s="334"/>
      <c r="C4" s="75" t="s">
        <v>1</v>
      </c>
      <c r="D4" s="335"/>
      <c r="M4" s="364"/>
      <c r="N4" s="365"/>
      <c r="O4" s="366"/>
    </row>
    <row r="5" spans="1:17" x14ac:dyDescent="0.25">
      <c r="A5" s="74" t="s">
        <v>0</v>
      </c>
      <c r="B5" s="342"/>
      <c r="C5" s="75" t="s">
        <v>97</v>
      </c>
      <c r="D5" s="335"/>
      <c r="M5" s="367"/>
      <c r="N5" s="368"/>
      <c r="O5" s="369"/>
    </row>
    <row r="6" spans="1:17" x14ac:dyDescent="0.25">
      <c r="A6" s="74" t="str">
        <f>IF(Sprache="English","date",IF(Sprache="Deutsch","Datum",""))</f>
        <v>Datum</v>
      </c>
      <c r="B6" s="343"/>
      <c r="C6" s="75" t="str">
        <f>IF(Sprache="English","employee ID",IF(Sprache="Deutsch","Personalnummer",""))</f>
        <v>Personalnummer</v>
      </c>
      <c r="D6" s="335"/>
    </row>
    <row r="7" spans="1:17" ht="14.25" customHeight="1" thickBot="1" x14ac:dyDescent="0.3">
      <c r="A7" s="76" t="str">
        <f>IF(Sprache="English","sampling number",IF(Sprache="Deutsch","Bemusterungs Nr.",""))</f>
        <v>Bemusterungs Nr.</v>
      </c>
      <c r="B7" s="344"/>
      <c r="C7" s="77" t="str">
        <f>IF(Sprache="English","screw Ø",IF(Sprache="Deutsch","Schnecken Ø",""))</f>
        <v>Schnecken Ø</v>
      </c>
      <c r="D7" s="336"/>
      <c r="F7" s="126" t="str">
        <f>IF(Sprache="English","use only at 1st sampling",IF(Sprache="Deutsch","Nur bei Erstmusterung durchführen",""))</f>
        <v>Nur bei Erstmusterung durchführen</v>
      </c>
    </row>
    <row r="8" spans="1:17" ht="13.8" thickTop="1" x14ac:dyDescent="0.25">
      <c r="A8" s="78" t="str">
        <f>IF(Sprache="English","metadata hidden",IF(Sprache="Deutsch","Metadaten ausgeblendet",""))</f>
        <v>Metadaten ausgeblendet</v>
      </c>
    </row>
    <row r="9" spans="1:17" ht="15.6" hidden="1" x14ac:dyDescent="0.3">
      <c r="A9" s="285" t="s">
        <v>35</v>
      </c>
      <c r="E9" s="285" t="s">
        <v>36</v>
      </c>
    </row>
    <row r="10" spans="1:17" hidden="1" x14ac:dyDescent="0.25">
      <c r="A10" s="286" t="s">
        <v>38</v>
      </c>
      <c r="C10" t="str">
        <f>IF(Sprache="English","problems &amp; measures 1",IF(Sprache="Deutsch","Probleme &amp; Massnahmen 1",""))</f>
        <v>Probleme &amp; Massnahmen 1</v>
      </c>
      <c r="E10" s="289" t="s">
        <v>22</v>
      </c>
      <c r="H10" t="s">
        <v>135</v>
      </c>
    </row>
    <row r="11" spans="1:17" hidden="1" x14ac:dyDescent="0.25">
      <c r="A11" s="287" t="str">
        <f>IF(Sprache="English","plane",IF(Sprache="Deutsch","flach",""))</f>
        <v>flach</v>
      </c>
      <c r="E11" s="286" t="s">
        <v>100</v>
      </c>
      <c r="H11" t="s">
        <v>136</v>
      </c>
    </row>
    <row r="12" spans="1:17" hidden="1" x14ac:dyDescent="0.25">
      <c r="A12" s="287" t="str">
        <f>IF(Sprache="English","Sulzer nozzle",IF(Sprache="Deutsch","Sulzer Düse",""))</f>
        <v>Sulzer Düse</v>
      </c>
      <c r="B12" s="79"/>
      <c r="E12" s="286" t="s">
        <v>32</v>
      </c>
      <c r="H12" t="s">
        <v>137</v>
      </c>
    </row>
    <row r="13" spans="1:17" hidden="1" x14ac:dyDescent="0.25">
      <c r="A13" s="287" t="str">
        <f>IF(Sprache="English","extended nozzle 12mm",IF(Sprache="Deutsch","Tauch 12mm",""))</f>
        <v>Tauch 12mm</v>
      </c>
      <c r="B13" s="79"/>
      <c r="E13" s="286" t="s">
        <v>33</v>
      </c>
    </row>
    <row r="14" spans="1:17" hidden="1" x14ac:dyDescent="0.25">
      <c r="A14" s="287" t="str">
        <f>IF(Sprache="English","extended nozzle 15.5mm",IF(Sprache="Deutsch","Tauch 15.5mm",""))</f>
        <v>Tauch 15.5mm</v>
      </c>
      <c r="E14" s="286" t="s">
        <v>34</v>
      </c>
    </row>
    <row r="15" spans="1:17" hidden="1" x14ac:dyDescent="0.25">
      <c r="A15" s="287" t="str">
        <f>IF(Sprache="English","extended nozzle 20mm",IF(Sprache="Deutsch","Tauch 20mm",""))</f>
        <v>Tauch 20mm</v>
      </c>
      <c r="E15" s="286" t="s">
        <v>39</v>
      </c>
    </row>
    <row r="16" spans="1:17" hidden="1" x14ac:dyDescent="0.25">
      <c r="A16" s="287" t="str">
        <f>IF(Sprache="English","filter nozzle 0.2mm",IF(Sprache="Deutsch","Filterdüse 0.2mm",""))</f>
        <v>Filterdüse 0.2mm</v>
      </c>
      <c r="E16" s="286" t="s">
        <v>91</v>
      </c>
    </row>
    <row r="17" spans="1:9" hidden="1" x14ac:dyDescent="0.25">
      <c r="A17" s="287" t="str">
        <f>IF(Sprache="English","filter nozzle 0.3mm",IF(Sprache="Deutsch","Filterdüse 0.3mm",""))</f>
        <v>Filterdüse 0.3mm</v>
      </c>
      <c r="B17" s="79"/>
      <c r="E17" s="286" t="s">
        <v>40</v>
      </c>
    </row>
    <row r="18" spans="1:9" ht="13.8" hidden="1" thickBot="1" x14ac:dyDescent="0.3">
      <c r="A18" s="288" t="str">
        <f>IF(Sprache="English","special nozzle",IF(Sprache="Deutsch","Sonderdüse (siehe unten)",""))</f>
        <v>Sonderdüse (siehe unten)</v>
      </c>
      <c r="E18" s="287" t="s">
        <v>151</v>
      </c>
      <c r="F18" s="79"/>
    </row>
    <row r="19" spans="1:9" ht="13.8" hidden="1" thickBot="1" x14ac:dyDescent="0.3">
      <c r="E19" s="287" t="str">
        <f>IF(Sprache="English","mixed by hand",IF(Sprache="Deutsch","von Hand aufgetrommelt",""))</f>
        <v>von Hand aufgetrommelt</v>
      </c>
      <c r="F19" s="79"/>
    </row>
    <row r="20" spans="1:9" ht="13.8" hidden="1" thickBot="1" x14ac:dyDescent="0.3">
      <c r="A20" s="290" t="s">
        <v>129</v>
      </c>
      <c r="E20" s="288" t="str">
        <f>IF(Sprache="English","none",IF(Sprache="Deutsch","keine",""))</f>
        <v>keine</v>
      </c>
    </row>
    <row r="21" spans="1:9" hidden="1" x14ac:dyDescent="0.25">
      <c r="A21" s="286" t="str">
        <f>IF(Sprache="English","setup support",IF(Sprache="Deutsch","Rüsthilfe",""))</f>
        <v>Rüsthilfe</v>
      </c>
    </row>
    <row r="22" spans="1:9" ht="13.8" hidden="1" thickBot="1" x14ac:dyDescent="0.3">
      <c r="A22" s="291" t="s">
        <v>128</v>
      </c>
    </row>
    <row r="23" spans="1:9" hidden="1" x14ac:dyDescent="0.25"/>
    <row r="24" spans="1:9" ht="13.8" hidden="1" thickBot="1" x14ac:dyDescent="0.3"/>
    <row r="25" spans="1:9" ht="15.6" hidden="1" x14ac:dyDescent="0.3">
      <c r="A25" s="285" t="s">
        <v>37</v>
      </c>
    </row>
    <row r="26" spans="1:9" hidden="1" x14ac:dyDescent="0.25">
      <c r="A26" s="287" t="str">
        <f>IF(Sprache="English","standard centric",IF(Sprache="Deutsch","zentrisch",""))</f>
        <v>zentrisch</v>
      </c>
    </row>
    <row r="27" spans="1:9" ht="15.6" hidden="1" x14ac:dyDescent="0.25">
      <c r="A27" s="287" t="str">
        <f>IF(Sprache="English","out of the center",IF(Sprache="Deutsch","aus der Mitte",""))</f>
        <v>aus der Mitte</v>
      </c>
      <c r="E27" s="296" t="s">
        <v>112</v>
      </c>
      <c r="F27" s="296"/>
      <c r="G27" s="296"/>
    </row>
    <row r="28" spans="1:9" ht="15.75" hidden="1" customHeight="1" x14ac:dyDescent="0.25">
      <c r="A28" s="287" t="str">
        <f>IF(Sprache="English","L-position",IF(Sprache="Deutsch","L-Stellung",""))</f>
        <v>L-Stellung</v>
      </c>
      <c r="E28" s="297" t="s">
        <v>113</v>
      </c>
      <c r="F28" s="297"/>
      <c r="G28" s="297"/>
    </row>
    <row r="29" spans="1:9" ht="13.8" hidden="1" thickBot="1" x14ac:dyDescent="0.3">
      <c r="A29" s="288" t="str">
        <f>IF(Sprache="English","vertical",IF(Sprache="Deutsch","vertikal",""))</f>
        <v>vertikal</v>
      </c>
    </row>
    <row r="30" spans="1:9" hidden="1" x14ac:dyDescent="0.25"/>
    <row r="31" spans="1:9" ht="13.8" hidden="1" thickBot="1" x14ac:dyDescent="0.3"/>
    <row r="32" spans="1:9" ht="15.6" hidden="1" x14ac:dyDescent="0.3">
      <c r="A32" s="280" t="s">
        <v>82</v>
      </c>
      <c r="B32" s="191"/>
      <c r="H32" s="293" t="s">
        <v>130</v>
      </c>
      <c r="I32" s="191"/>
    </row>
    <row r="33" spans="1:9" hidden="1" x14ac:dyDescent="0.25">
      <c r="A33" s="157" t="s">
        <v>95</v>
      </c>
      <c r="B33" s="160" t="s">
        <v>96</v>
      </c>
      <c r="G33" s="79"/>
      <c r="H33" s="157"/>
      <c r="I33" s="160"/>
    </row>
    <row r="34" spans="1:9" hidden="1" x14ac:dyDescent="0.25">
      <c r="A34" s="292" t="s">
        <v>85</v>
      </c>
      <c r="B34" s="268" t="s">
        <v>84</v>
      </c>
      <c r="H34" s="157" t="str">
        <f>IF(Sprache="English","after",IF(Sprache="Deutsch","nach",""))</f>
        <v>nach</v>
      </c>
      <c r="I34" s="282"/>
    </row>
    <row r="35" spans="1:9" ht="13.8" hidden="1" thickBot="1" x14ac:dyDescent="0.3">
      <c r="A35" s="292" t="s">
        <v>83</v>
      </c>
      <c r="B35" s="268" t="s">
        <v>81</v>
      </c>
      <c r="H35" s="157" t="str">
        <f>IF(Sprache="English","before",IF(Sprache="Deutsch","vor",""))</f>
        <v>vor</v>
      </c>
      <c r="I35" s="282"/>
    </row>
    <row r="36" spans="1:9" ht="13.8" hidden="1" thickBot="1" x14ac:dyDescent="0.3">
      <c r="A36" s="292" t="s">
        <v>86</v>
      </c>
      <c r="B36" s="268"/>
      <c r="E36" s="290" t="s">
        <v>28</v>
      </c>
      <c r="H36" s="162" t="str">
        <f>IF(Sprache="English","before &amp; after",IF(Sprache="Deutsch","vor &amp; nach",""))</f>
        <v>vor &amp; nach</v>
      </c>
      <c r="I36" s="294"/>
    </row>
    <row r="37" spans="1:9" hidden="1" x14ac:dyDescent="0.25">
      <c r="A37" s="157"/>
      <c r="B37" s="160"/>
      <c r="E37" s="286" t="str">
        <f>IF(Sprache="English","lift of",IF(Sprache="Deutsch","abheben",""))</f>
        <v>abheben</v>
      </c>
    </row>
    <row r="38" spans="1:9" ht="13.8" hidden="1" thickBot="1" x14ac:dyDescent="0.3">
      <c r="A38" s="157"/>
      <c r="B38" s="160"/>
      <c r="E38" s="291" t="str">
        <f>IF(Sprache="English","on mold",IF(Sprache="Deutsch","anliegend",""))</f>
        <v>anliegend</v>
      </c>
    </row>
    <row r="39" spans="1:9" hidden="1" x14ac:dyDescent="0.25">
      <c r="A39" s="157" t="s">
        <v>87</v>
      </c>
      <c r="B39" s="160"/>
    </row>
    <row r="40" spans="1:9" hidden="1" x14ac:dyDescent="0.25">
      <c r="A40" s="157" t="s">
        <v>88</v>
      </c>
      <c r="B40" s="160" t="s">
        <v>81</v>
      </c>
    </row>
    <row r="41" spans="1:9" hidden="1" x14ac:dyDescent="0.25">
      <c r="A41" s="157" t="s">
        <v>89</v>
      </c>
      <c r="B41" s="160" t="s">
        <v>84</v>
      </c>
    </row>
    <row r="42" spans="1:9" ht="13.8" hidden="1" thickBot="1" x14ac:dyDescent="0.3">
      <c r="A42" s="162" t="s">
        <v>83</v>
      </c>
      <c r="B42" s="173"/>
    </row>
    <row r="43" spans="1:9" hidden="1" x14ac:dyDescent="0.25">
      <c r="A43" s="157" t="s">
        <v>139</v>
      </c>
      <c r="I43" s="277" t="str">
        <f>IF(Sprache="English","sampling",IF(Sprache="Deutsch","Bemusterung",""))</f>
        <v>Bemusterung</v>
      </c>
    </row>
    <row r="44" spans="1:9" hidden="1" x14ac:dyDescent="0.25">
      <c r="I44" s="276" t="str">
        <f>IF(Sprache="English","production",IF(Sprache="Deutsch","Produktion",""))</f>
        <v>Produktion</v>
      </c>
    </row>
    <row r="45" spans="1:9" ht="16.2" hidden="1" thickBot="1" x14ac:dyDescent="0.35">
      <c r="E45" s="71"/>
      <c r="I45" s="278" t="str">
        <f>IF(Sprache="English","SetupSupport",IF(Sprache="Deutsch","Rüsthilfe",""))</f>
        <v>Rüsthilfe</v>
      </c>
    </row>
    <row r="46" spans="1:9" ht="15.6" hidden="1" x14ac:dyDescent="0.3">
      <c r="A46" s="285" t="s">
        <v>27</v>
      </c>
    </row>
    <row r="47" spans="1:9" hidden="1" x14ac:dyDescent="0.25">
      <c r="A47" s="287" t="str">
        <f>IF(Sprache="English","two plate mold",IF(Sprache="Deutsch","2 Plattenwerkzeug",""))</f>
        <v>2 Plattenwerkzeug</v>
      </c>
    </row>
    <row r="48" spans="1:9" ht="13.8" hidden="1" thickBot="1" x14ac:dyDescent="0.3">
      <c r="A48" s="287" t="str">
        <f>IF(Sprache="English","three plate mold",IF(Sprache="Deutsch","3 Plattenwerkzeug",""))</f>
        <v>3 Plattenwerkzeug</v>
      </c>
    </row>
    <row r="49" spans="1:10" ht="15.6" hidden="1" x14ac:dyDescent="0.3">
      <c r="A49" s="287" t="str">
        <f>IF(Sprache="English","hotrunner open",IF(Sprache="Deutsch","Heisskanal offen",""))</f>
        <v>Heisskanal offen</v>
      </c>
      <c r="E49" s="285" t="s">
        <v>109</v>
      </c>
      <c r="I49" s="280" t="s">
        <v>29</v>
      </c>
      <c r="J49" s="191"/>
    </row>
    <row r="50" spans="1:10" hidden="1" x14ac:dyDescent="0.25">
      <c r="A50" s="287" t="str">
        <f>IF(Sprache="English","hotrunner nozzle",IF(Sprache="Deutsch","Heisskanal Nadelverschluss",""))</f>
        <v>Heisskanal Nadelverschluss</v>
      </c>
      <c r="E50" s="286">
        <v>1</v>
      </c>
      <c r="I50" s="281" t="str">
        <f>IF(Sprache="English","sprue picker",IF(Sprache="Deutsch","Angusspicker",""))</f>
        <v>Angusspicker</v>
      </c>
      <c r="J50" s="160"/>
    </row>
    <row r="51" spans="1:10" s="79" customFormat="1" hidden="1" x14ac:dyDescent="0.25">
      <c r="A51" s="287" t="str">
        <f>IF(Sprache="English","2 components",IF(Sprache="Deutsch","2 Komponenten",""))</f>
        <v>2 Komponenten</v>
      </c>
      <c r="D51"/>
      <c r="E51" s="286">
        <v>2</v>
      </c>
      <c r="I51" s="281" t="str">
        <f>IF(Sprache="English","part gripper",IF(Sprache="Deutsch","Teilegreifer",""))</f>
        <v>Teilegreifer</v>
      </c>
      <c r="J51" s="282"/>
    </row>
    <row r="52" spans="1:10" s="80" customFormat="1" ht="14.25" hidden="1" customHeight="1" x14ac:dyDescent="0.55000000000000004">
      <c r="A52" s="287" t="str">
        <f>IF(Sprache="English","3 components",IF(Sprache="Deutsch","3 Komponenten",""))</f>
        <v>3 Komponenten</v>
      </c>
      <c r="D52" s="79"/>
      <c r="E52" s="286">
        <v>3</v>
      </c>
      <c r="I52" s="281" t="str">
        <f>IF(Sprache="English","part gripper &amp; sprue picker",IF(Sprache="Deutsch","Teilentnahme &amp; Angusspicker",""))</f>
        <v>Teilentnahme &amp; Angusspicker</v>
      </c>
      <c r="J52" s="295"/>
    </row>
    <row r="53" spans="1:10" ht="15" hidden="1" customHeight="1" thickBot="1" x14ac:dyDescent="0.3">
      <c r="A53" s="287" t="str">
        <f>IF(Sprache="English","rotary platform",IF(Sprache="Deutsch","mit Drehmotor",""))</f>
        <v>mit Drehmotor</v>
      </c>
      <c r="E53" s="288" t="str">
        <f>IF(Sprache="English","none",IF(Sprache="Deutsch","keine",""))</f>
        <v>keine</v>
      </c>
      <c r="F53" s="79"/>
      <c r="I53" s="283" t="str">
        <f>IF(Sprache="English","none",IF(Sprache="Deutsch","keine",""))</f>
        <v>keine</v>
      </c>
      <c r="J53" s="173"/>
    </row>
    <row r="54" spans="1:10" ht="13.8" hidden="1" thickBot="1" x14ac:dyDescent="0.3">
      <c r="A54" s="288" t="str">
        <f>IF(Sprache="English","rotary plate",IF(Sprache="Deutsch","Drehteller",""))</f>
        <v>Drehteller</v>
      </c>
    </row>
    <row r="55" spans="1:10" hidden="1" x14ac:dyDescent="0.25"/>
    <row r="56" spans="1:10" hidden="1" x14ac:dyDescent="0.25"/>
    <row r="57" spans="1:10" hidden="1" x14ac:dyDescent="0.25"/>
    <row r="58" spans="1:10" hidden="1" x14ac:dyDescent="0.25"/>
    <row r="59" spans="1:10" hidden="1" x14ac:dyDescent="0.25"/>
    <row r="60" spans="1:10" hidden="1" x14ac:dyDescent="0.25"/>
    <row r="61" spans="1:10" hidden="1" x14ac:dyDescent="0.25"/>
    <row r="62" spans="1:10" hidden="1" x14ac:dyDescent="0.25"/>
    <row r="63" spans="1:10" ht="15.6" hidden="1" x14ac:dyDescent="0.3">
      <c r="F63" s="71" t="s">
        <v>99</v>
      </c>
    </row>
    <row r="64" spans="1:10" hidden="1" x14ac:dyDescent="0.25">
      <c r="F64" s="284" t="s">
        <v>98</v>
      </c>
    </row>
    <row r="65" spans="1:6" hidden="1" x14ac:dyDescent="0.25">
      <c r="F65" s="284">
        <v>15</v>
      </c>
    </row>
    <row r="66" spans="1:6" hidden="1" x14ac:dyDescent="0.25">
      <c r="F66" s="284">
        <v>18</v>
      </c>
    </row>
    <row r="67" spans="1:6" hidden="1" x14ac:dyDescent="0.25">
      <c r="F67" s="284">
        <v>20</v>
      </c>
    </row>
    <row r="68" spans="1:6" hidden="1" x14ac:dyDescent="0.25">
      <c r="F68" s="284">
        <v>22</v>
      </c>
    </row>
    <row r="69" spans="1:6" hidden="1" x14ac:dyDescent="0.25">
      <c r="F69" s="284">
        <v>24</v>
      </c>
    </row>
    <row r="70" spans="1:6" hidden="1" x14ac:dyDescent="0.25">
      <c r="F70" s="284">
        <v>25</v>
      </c>
    </row>
    <row r="71" spans="1:6" hidden="1" x14ac:dyDescent="0.25">
      <c r="F71" s="284">
        <v>28</v>
      </c>
    </row>
    <row r="72" spans="1:6" hidden="1" x14ac:dyDescent="0.25">
      <c r="F72" s="284">
        <v>30</v>
      </c>
    </row>
    <row r="73" spans="1:6" hidden="1" x14ac:dyDescent="0.25">
      <c r="F73" s="284">
        <v>32</v>
      </c>
    </row>
    <row r="74" spans="1:6" hidden="1" x14ac:dyDescent="0.25">
      <c r="F74" s="284">
        <v>35</v>
      </c>
    </row>
    <row r="75" spans="1:6" hidden="1" x14ac:dyDescent="0.25">
      <c r="F75" s="284">
        <v>38</v>
      </c>
    </row>
    <row r="76" spans="1:6" hidden="1" x14ac:dyDescent="0.25">
      <c r="F76" s="284">
        <v>40</v>
      </c>
    </row>
    <row r="77" spans="1:6" ht="15.6" hidden="1" x14ac:dyDescent="0.3">
      <c r="A77" s="71" t="s">
        <v>94</v>
      </c>
      <c r="F77" s="284">
        <v>45</v>
      </c>
    </row>
    <row r="78" spans="1:6" hidden="1" x14ac:dyDescent="0.25">
      <c r="A78" t="s">
        <v>92</v>
      </c>
      <c r="B78" t="s">
        <v>93</v>
      </c>
      <c r="F78" s="284">
        <v>50</v>
      </c>
    </row>
    <row r="79" spans="1:6" hidden="1" x14ac:dyDescent="0.25">
      <c r="A79" s="279">
        <v>1</v>
      </c>
      <c r="B79" s="79" t="str">
        <f>IF(Sprache="English","process release granted",IF(Sprache="Deutsch","Prozessfreigabe erteilt",""))</f>
        <v>Prozessfreigabe erteilt</v>
      </c>
      <c r="F79" s="284">
        <v>55</v>
      </c>
    </row>
    <row r="80" spans="1:6" hidden="1" x14ac:dyDescent="0.25">
      <c r="A80" s="279">
        <v>2</v>
      </c>
      <c r="B80" s="79" t="str">
        <f>IF(Sprache="English","process release denied",IF(Sprache="Deutsch","Prozessfreigabe nicht erteilt",""))</f>
        <v>Prozessfreigabe nicht erteilt</v>
      </c>
      <c r="F80" s="284">
        <v>60</v>
      </c>
    </row>
    <row r="81" spans="2:5" hidden="1" x14ac:dyDescent="0.25"/>
    <row r="82" spans="2:5" hidden="1" x14ac:dyDescent="0.25"/>
    <row r="83" spans="2:5" hidden="1" x14ac:dyDescent="0.25"/>
    <row r="84" spans="2:5" hidden="1" x14ac:dyDescent="0.25"/>
    <row r="85" spans="2:5" ht="21" hidden="1" x14ac:dyDescent="0.4">
      <c r="B85" s="128" t="s">
        <v>124</v>
      </c>
      <c r="C85" s="128"/>
      <c r="D85" s="128"/>
      <c r="E85" s="129"/>
    </row>
    <row r="86" spans="2:5" ht="21" hidden="1" x14ac:dyDescent="0.4">
      <c r="B86" s="128" t="s">
        <v>142</v>
      </c>
      <c r="C86" s="128"/>
      <c r="D86" s="128"/>
      <c r="E86" s="129"/>
    </row>
    <row r="87" spans="2:5" ht="21" hidden="1" x14ac:dyDescent="0.4">
      <c r="B87" s="60"/>
      <c r="C87" s="60"/>
      <c r="D87" s="60"/>
    </row>
    <row r="93" spans="2:5" x14ac:dyDescent="0.25">
      <c r="D93" s="199"/>
    </row>
    <row r="94" spans="2:5" ht="13.8" x14ac:dyDescent="0.25">
      <c r="D94" s="199" t="s">
        <v>133</v>
      </c>
    </row>
    <row r="95" spans="2:5" ht="15" x14ac:dyDescent="0.25">
      <c r="D95" s="199" t="s">
        <v>134</v>
      </c>
    </row>
    <row r="100" spans="1:2" ht="15" x14ac:dyDescent="0.25">
      <c r="A100" s="307" t="s">
        <v>128</v>
      </c>
      <c r="B100" s="199" t="str">
        <f>A100</f>
        <v>Infos</v>
      </c>
    </row>
  </sheetData>
  <sheetProtection sheet="1" formatCells="0" formatColumns="0" formatRows="0" insertRows="0" insertHyperlinks="0" deleteRows="0" selectLockedCells="1"/>
  <customSheetViews>
    <customSheetView guid="{6DE06876-0E46-46FE-AC8C-8F0FAAA09620}" showRuler="0">
      <selection activeCell="L10" sqref="L10:P10"/>
      <pageMargins left="0.75" right="0.75" top="1" bottom="1" header="0.4921259845" footer="0.4921259845"/>
      <pageSetup paperSize="9" orientation="portrait" r:id="rId1"/>
      <headerFooter alignWithMargins="0"/>
    </customSheetView>
  </customSheetViews>
  <mergeCells count="4">
    <mergeCell ref="D1:E1"/>
    <mergeCell ref="G3:H3"/>
    <mergeCell ref="I3:L3"/>
    <mergeCell ref="M3:O5"/>
  </mergeCells>
  <phoneticPr fontId="0" type="noConversion"/>
  <conditionalFormatting sqref="B2:B7">
    <cfRule type="expression" dxfId="71" priority="3">
      <formula>ISBLANK(B2)</formula>
    </cfRule>
  </conditionalFormatting>
  <conditionalFormatting sqref="D2:D7">
    <cfRule type="expression" dxfId="70" priority="2">
      <formula>ISBLANK(D2)</formula>
    </cfRule>
  </conditionalFormatting>
  <conditionalFormatting sqref="F2:F3">
    <cfRule type="expression" dxfId="69" priority="1">
      <formula>ISBLANK(F2)</formula>
    </cfRule>
  </conditionalFormatting>
  <dataValidations count="4">
    <dataValidation type="list" allowBlank="1" showInputMessage="1" showErrorMessage="1" sqref="M3:O5" xr:uid="{00000000-0002-0000-0000-000000000000}">
      <formula1>$H$11:$H$12</formula1>
    </dataValidation>
    <dataValidation type="textLength" errorStyle="warning" allowBlank="1" showInputMessage="1" showErrorMessage="1" errorTitle="Alert" error="maximal 6 Ziffern / maximum 6 Digits" sqref="B2" xr:uid="{8C2A0680-D32F-45AE-AD34-56C17A7ED184}">
      <formula1>6</formula1>
      <formula2>6</formula2>
    </dataValidation>
    <dataValidation type="textLength" errorStyle="warning" allowBlank="1" showInputMessage="1" showErrorMessage="1" errorTitle="Alert" error="maximal 7 Ziffern/ maximum 7 Digits" sqref="B4" xr:uid="{89809BCE-8375-4F2B-A124-08D6689B141B}">
      <formula1>7</formula1>
      <formula2>7</formula2>
    </dataValidation>
    <dataValidation allowBlank="1" showInputMessage="1" showErrorMessage="1" promptTitle="INFO:" prompt="DEUTSCH:_x000a_Das Datum in folgendem Format eingeben:_x000a_TT.MM.JJJJ (Das Format wird automatisch in TT-MMM-JJJJ umgewandelt)_x000a__x000a_ENGLISH_x000a_Enter date in following format:_x000a_DD.MM.YYYY (The format will be automatically converted to DD-MMM-YYYY)" sqref="B6" xr:uid="{E63C0CA5-58CD-425A-95EB-54864CB43CD1}"/>
  </dataValidations>
  <pageMargins left="0.74803149606299213" right="0.47244094488188981" top="1.4173228346456694" bottom="0.98425196850393704" header="0.51181102362204722" footer="0.51181102362204722"/>
  <pageSetup paperSize="9" orientation="portrait" r:id="rId2"/>
  <headerFooter alignWithMargins="0">
    <oddHeader>&amp;R&amp;G&amp;L&amp;"Arial,Bold"&amp;22Produktion&amp;C&amp;"Arial,Bold"&amp;26Deckblatt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drawing r:id="rId3"/>
  <legacyDrawing r:id="rId4"/>
  <legacyDrawingHF r:id="rId5"/>
  <controls>
    <mc:AlternateContent xmlns:mc="http://schemas.openxmlformats.org/markup-compatibility/2006">
      <mc:Choice Requires="x14">
        <control shapeId="3135" r:id="rId6" name="ComboBox2">
          <controlPr defaultSize="0" autoLine="0" autoPict="0" listFillRange="wahl" r:id="rId7">
            <anchor>
              <from>
                <xdr:col>7</xdr:col>
                <xdr:colOff>388620</xdr:colOff>
                <xdr:row>3</xdr:row>
                <xdr:rowOff>68580</xdr:rowOff>
              </from>
              <to>
                <xdr:col>10</xdr:col>
                <xdr:colOff>274320</xdr:colOff>
                <xdr:row>6</xdr:row>
                <xdr:rowOff>114300</xdr:rowOff>
              </to>
            </anchor>
          </controlPr>
        </control>
      </mc:Choice>
      <mc:Fallback>
        <control shapeId="3135" r:id="rId6" name="ComboBox2"/>
      </mc:Fallback>
    </mc:AlternateContent>
    <mc:AlternateContent xmlns:mc="http://schemas.openxmlformats.org/markup-compatibility/2006">
      <mc:Choice Requires="x14">
        <control shapeId="3132" r:id="rId8" name="Button 60">
          <controlPr defaultSize="0" print="0" autoFill="0" autoPict="0" macro="[0]!Tabelle5.Speichern_unter">
            <anchor>
              <from>
                <xdr:col>4</xdr:col>
                <xdr:colOff>1165860</xdr:colOff>
                <xdr:row>3</xdr:row>
                <xdr:rowOff>114300</xdr:rowOff>
              </from>
              <to>
                <xdr:col>5</xdr:col>
                <xdr:colOff>1440180</xdr:colOff>
                <xdr:row>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>
    <pageSetUpPr fitToPage="1"/>
  </sheetPr>
  <dimension ref="A1:S528"/>
  <sheetViews>
    <sheetView showGridLines="0" view="pageLayout" zoomScale="40" zoomScaleNormal="70" zoomScalePageLayoutView="40" workbookViewId="0">
      <selection activeCell="I66" sqref="I66:J85"/>
    </sheetView>
  </sheetViews>
  <sheetFormatPr defaultColWidth="3.6640625" defaultRowHeight="17.100000000000001" customHeight="1" x14ac:dyDescent="0.25"/>
  <cols>
    <col min="1" max="1" width="9.33203125" style="61" customWidth="1"/>
    <col min="2" max="2" width="85.5546875" style="61" customWidth="1"/>
    <col min="3" max="3" width="7.33203125" style="61" bestFit="1" customWidth="1"/>
    <col min="4" max="4" width="26.5546875" style="61" bestFit="1" customWidth="1"/>
    <col min="5" max="5" width="21.33203125" style="62" bestFit="1" customWidth="1"/>
    <col min="6" max="6" width="100" style="62" customWidth="1"/>
    <col min="7" max="7" width="63" style="62" customWidth="1"/>
    <col min="8" max="8" width="37.6640625" style="62" customWidth="1"/>
    <col min="9" max="9" width="35.6640625" style="62" customWidth="1"/>
    <col min="10" max="10" width="35" style="62" customWidth="1"/>
    <col min="11" max="11" width="30.44140625" style="62" bestFit="1" customWidth="1"/>
    <col min="12" max="18" width="3.6640625" style="62"/>
    <col min="19" max="19" width="34.33203125" style="62" customWidth="1"/>
    <col min="20" max="16384" width="3.6640625" style="62"/>
  </cols>
  <sheetData>
    <row r="1" spans="1:12" s="56" customFormat="1" ht="39" customHeight="1" thickBot="1" x14ac:dyDescent="0.3">
      <c r="A1" s="373" t="str">
        <f>IF(Sprache="English","article:  ",IF(Sprache="Deutsch","Artikel:  ",""))&amp;Infos!B3</f>
        <v xml:space="preserve">Artikel:  </v>
      </c>
      <c r="B1" s="374"/>
      <c r="C1" s="51"/>
      <c r="D1" s="52"/>
      <c r="E1" s="53"/>
      <c r="F1" s="54" t="str">
        <f>IF(Sprache="English","mold number: ",IF(Sprache="Deutsch","Werkzeugnummer:  ","")) &amp; Infos!D2</f>
        <v xml:space="preserve">Werkzeugnummer:  </v>
      </c>
      <c r="G1" s="260" t="str">
        <f>IF(Sprache="English","order number: ",IF(Sprache="Deutsch","Auftragsnummer:  ","")) &amp; Infos!B4</f>
        <v xml:space="preserve">Auftragsnummer:  </v>
      </c>
      <c r="H1" s="386" t="str">
        <f xml:space="preserve"> "medmix ID: / Index:            " &amp; Infos!B2 &amp; " / " &amp;Infos!$B$5</f>
        <v xml:space="preserve">medmix ID: / Index:             / </v>
      </c>
      <c r="I1" s="387"/>
      <c r="J1" s="402"/>
      <c r="K1" s="403"/>
      <c r="L1" s="55"/>
    </row>
    <row r="2" spans="1:12" s="60" customFormat="1" ht="24.9" customHeight="1" x14ac:dyDescent="0.4">
      <c r="A2" s="267"/>
      <c r="B2" s="57"/>
      <c r="C2" s="57"/>
      <c r="D2" s="58"/>
      <c r="E2"/>
      <c r="F2" s="57"/>
      <c r="G2" s="57"/>
      <c r="H2" s="57"/>
      <c r="I2" s="57"/>
      <c r="J2" s="57"/>
      <c r="K2" s="268"/>
      <c r="L2" s="59"/>
    </row>
    <row r="3" spans="1:12" ht="28.5" customHeight="1" x14ac:dyDescent="0.35">
      <c r="A3" s="269" t="str">
        <f>IF(Sprache="English","name / date",IF(Sprache="Deutsch","Name / Datum:  ",""))</f>
        <v xml:space="preserve">Name / Datum:  </v>
      </c>
      <c r="B3" s="263"/>
      <c r="C3" s="401" t="str">
        <f>Infos!$D$5 &amp; "    / " &amp; TEXT(Infos!$B$6, "TT-MMM-JJJJ")</f>
        <v xml:space="preserve">    / 00-Jan-1900</v>
      </c>
      <c r="D3" s="401"/>
      <c r="E3" s="401"/>
      <c r="K3" s="270"/>
    </row>
    <row r="4" spans="1:12" ht="21.75" customHeight="1" x14ac:dyDescent="0.25">
      <c r="A4" s="271"/>
      <c r="K4" s="270"/>
    </row>
    <row r="5" spans="1:12" ht="20.399999999999999" customHeight="1" x14ac:dyDescent="0.35">
      <c r="A5" s="272" t="str">
        <f>IF(Sprache="English","#",IF(Sprache="Deutsch","Pkt.  ",""))</f>
        <v xml:space="preserve">Pkt.  </v>
      </c>
      <c r="B5" s="265" t="str">
        <f>IF(Sprache="English","Problems",IF(Sprache="Deutsch","Probleme",""))</f>
        <v>Probleme</v>
      </c>
      <c r="C5" s="265" t="str">
        <f>IF(Sprache="English","#",IF(Sprache="Deutsch","Pkt.  ",""))</f>
        <v xml:space="preserve">Pkt.  </v>
      </c>
      <c r="D5" s="264" t="str">
        <f>IF(Sprache="English","date",IF(Sprache="Deutsch","Datum",""))</f>
        <v>Datum</v>
      </c>
      <c r="E5" s="298" t="str">
        <f>IF(Sprache="English","IMM",IF(Sprache="Deutsch","SGM",""))</f>
        <v>SGM</v>
      </c>
      <c r="F5" s="266" t="str">
        <f>IF(Sprache="English","conducted measures",IF(Sprache="Deutsch","umgesetzte verfahrenstechnische Massnahmen",""))</f>
        <v>umgesetzte verfahrenstechnische Massnahmen</v>
      </c>
      <c r="G5" s="266" t="str">
        <f>IF(Sprache="English","open measures",IF(Sprache="Deutsch","offene Massnahmen",""))</f>
        <v>offene Massnahmen</v>
      </c>
      <c r="H5" s="266" t="str">
        <f>IF(Sprache="English","expert team at IMM",IF(Sprache="Deutsch","Expertenteam an SGM",""))</f>
        <v>Expertenteam an SGM</v>
      </c>
      <c r="I5" s="388" t="str">
        <f>IF(Sprache="English","performed measures Project Manager",IF(Sprache="Deutsch","durchgeführte Arbeiten Projektleiter",""))</f>
        <v>durchgeführte Arbeiten Projektleiter</v>
      </c>
      <c r="J5" s="389"/>
      <c r="K5" s="273" t="str">
        <f>IF(Sprache="English","problem solved",IF(Sprache="Deutsch","Problem behoben",""))</f>
        <v>Problem behoben</v>
      </c>
    </row>
    <row r="6" spans="1:12" s="68" customFormat="1" ht="15" customHeight="1" x14ac:dyDescent="0.25">
      <c r="A6" s="396">
        <v>1</v>
      </c>
      <c r="B6" s="397"/>
      <c r="C6" s="375"/>
      <c r="D6" s="378"/>
      <c r="E6" s="375"/>
      <c r="F6" s="375"/>
      <c r="G6" s="375"/>
      <c r="H6" s="375"/>
      <c r="I6" s="390"/>
      <c r="J6" s="391"/>
      <c r="K6" s="385" t="s">
        <v>144</v>
      </c>
    </row>
    <row r="7" spans="1:12" s="69" customFormat="1" ht="15" customHeight="1" x14ac:dyDescent="0.25">
      <c r="A7" s="396"/>
      <c r="B7" s="398"/>
      <c r="C7" s="376"/>
      <c r="D7" s="379"/>
      <c r="E7" s="376"/>
      <c r="F7" s="376"/>
      <c r="G7" s="376"/>
      <c r="H7" s="376"/>
      <c r="I7" s="392"/>
      <c r="J7" s="393"/>
      <c r="K7" s="385"/>
    </row>
    <row r="8" spans="1:12" s="69" customFormat="1" ht="15" customHeight="1" x14ac:dyDescent="0.25">
      <c r="A8" s="396"/>
      <c r="B8" s="398"/>
      <c r="C8" s="376"/>
      <c r="D8" s="379"/>
      <c r="E8" s="376"/>
      <c r="F8" s="376"/>
      <c r="G8" s="376"/>
      <c r="H8" s="376"/>
      <c r="I8" s="392"/>
      <c r="J8" s="393"/>
      <c r="K8" s="385"/>
    </row>
    <row r="9" spans="1:12" s="69" customFormat="1" ht="15" customHeight="1" x14ac:dyDescent="0.25">
      <c r="A9" s="396"/>
      <c r="B9" s="398"/>
      <c r="C9" s="377"/>
      <c r="D9" s="382"/>
      <c r="E9" s="377"/>
      <c r="F9" s="377"/>
      <c r="G9" s="377"/>
      <c r="H9" s="377"/>
      <c r="I9" s="392"/>
      <c r="J9" s="393"/>
      <c r="K9" s="385"/>
    </row>
    <row r="10" spans="1:12" s="70" customFormat="1" ht="15" customHeight="1" x14ac:dyDescent="0.25">
      <c r="A10" s="396"/>
      <c r="B10" s="398"/>
      <c r="C10" s="375"/>
      <c r="D10" s="378"/>
      <c r="E10" s="375"/>
      <c r="F10" s="375"/>
      <c r="G10" s="375"/>
      <c r="H10" s="375"/>
      <c r="I10" s="392"/>
      <c r="J10" s="393"/>
      <c r="K10" s="385"/>
    </row>
    <row r="11" spans="1:12" s="70" customFormat="1" ht="15" customHeight="1" x14ac:dyDescent="0.25">
      <c r="A11" s="396"/>
      <c r="B11" s="398"/>
      <c r="C11" s="376"/>
      <c r="D11" s="379"/>
      <c r="E11" s="376"/>
      <c r="F11" s="376"/>
      <c r="G11" s="376"/>
      <c r="H11" s="376"/>
      <c r="I11" s="392"/>
      <c r="J11" s="393"/>
      <c r="K11" s="385"/>
    </row>
    <row r="12" spans="1:12" s="70" customFormat="1" ht="15" customHeight="1" x14ac:dyDescent="0.25">
      <c r="A12" s="396"/>
      <c r="B12" s="398"/>
      <c r="C12" s="376"/>
      <c r="D12" s="379"/>
      <c r="E12" s="376"/>
      <c r="F12" s="376"/>
      <c r="G12" s="376"/>
      <c r="H12" s="376"/>
      <c r="I12" s="392"/>
      <c r="J12" s="393"/>
      <c r="K12" s="385"/>
    </row>
    <row r="13" spans="1:12" s="70" customFormat="1" ht="15" customHeight="1" x14ac:dyDescent="0.25">
      <c r="A13" s="396"/>
      <c r="B13" s="398"/>
      <c r="C13" s="377"/>
      <c r="D13" s="382"/>
      <c r="E13" s="377"/>
      <c r="F13" s="377"/>
      <c r="G13" s="377"/>
      <c r="H13" s="377"/>
      <c r="I13" s="392"/>
      <c r="J13" s="393"/>
      <c r="K13" s="385"/>
    </row>
    <row r="14" spans="1:12" s="70" customFormat="1" ht="15" customHeight="1" x14ac:dyDescent="0.25">
      <c r="A14" s="396"/>
      <c r="B14" s="398"/>
      <c r="C14" s="375"/>
      <c r="D14" s="378"/>
      <c r="E14" s="375"/>
      <c r="F14" s="375"/>
      <c r="G14" s="375"/>
      <c r="H14" s="375"/>
      <c r="I14" s="392"/>
      <c r="J14" s="393"/>
      <c r="K14" s="385"/>
    </row>
    <row r="15" spans="1:12" s="70" customFormat="1" ht="15" customHeight="1" x14ac:dyDescent="0.25">
      <c r="A15" s="396"/>
      <c r="B15" s="398"/>
      <c r="C15" s="376"/>
      <c r="D15" s="379"/>
      <c r="E15" s="376"/>
      <c r="F15" s="376"/>
      <c r="G15" s="376"/>
      <c r="H15" s="376"/>
      <c r="I15" s="392"/>
      <c r="J15" s="393"/>
      <c r="K15" s="385"/>
    </row>
    <row r="16" spans="1:12" s="70" customFormat="1" ht="15" customHeight="1" x14ac:dyDescent="0.25">
      <c r="A16" s="396"/>
      <c r="B16" s="398"/>
      <c r="C16" s="376"/>
      <c r="D16" s="379"/>
      <c r="E16" s="376"/>
      <c r="F16" s="376"/>
      <c r="G16" s="376"/>
      <c r="H16" s="376"/>
      <c r="I16" s="392"/>
      <c r="J16" s="393"/>
      <c r="K16" s="385"/>
    </row>
    <row r="17" spans="1:11" s="70" customFormat="1" ht="15.6" customHeight="1" x14ac:dyDescent="0.25">
      <c r="A17" s="396"/>
      <c r="B17" s="398"/>
      <c r="C17" s="377"/>
      <c r="D17" s="382"/>
      <c r="E17" s="377"/>
      <c r="F17" s="377"/>
      <c r="G17" s="377"/>
      <c r="H17" s="377"/>
      <c r="I17" s="392"/>
      <c r="J17" s="393"/>
      <c r="K17" s="385"/>
    </row>
    <row r="18" spans="1:11" s="70" customFormat="1" ht="15" customHeight="1" x14ac:dyDescent="0.25">
      <c r="A18" s="396"/>
      <c r="B18" s="398"/>
      <c r="C18" s="375"/>
      <c r="D18" s="378"/>
      <c r="E18" s="375"/>
      <c r="F18" s="375"/>
      <c r="G18" s="375"/>
      <c r="H18" s="375"/>
      <c r="I18" s="392"/>
      <c r="J18" s="393"/>
      <c r="K18" s="385"/>
    </row>
    <row r="19" spans="1:11" s="70" customFormat="1" ht="15" customHeight="1" x14ac:dyDescent="0.25">
      <c r="A19" s="396"/>
      <c r="B19" s="398"/>
      <c r="C19" s="376"/>
      <c r="D19" s="379"/>
      <c r="E19" s="376"/>
      <c r="F19" s="376"/>
      <c r="G19" s="376"/>
      <c r="H19" s="376"/>
      <c r="I19" s="392"/>
      <c r="J19" s="393"/>
      <c r="K19" s="385"/>
    </row>
    <row r="20" spans="1:11" s="70" customFormat="1" ht="15" customHeight="1" x14ac:dyDescent="0.25">
      <c r="A20" s="396"/>
      <c r="B20" s="398"/>
      <c r="C20" s="376"/>
      <c r="D20" s="379"/>
      <c r="E20" s="376"/>
      <c r="F20" s="376"/>
      <c r="G20" s="376"/>
      <c r="H20" s="376"/>
      <c r="I20" s="392"/>
      <c r="J20" s="393"/>
      <c r="K20" s="385"/>
    </row>
    <row r="21" spans="1:11" s="70" customFormat="1" ht="15" customHeight="1" x14ac:dyDescent="0.25">
      <c r="A21" s="396"/>
      <c r="B21" s="398"/>
      <c r="C21" s="377"/>
      <c r="D21" s="382"/>
      <c r="E21" s="377"/>
      <c r="F21" s="377"/>
      <c r="G21" s="377"/>
      <c r="H21" s="377"/>
      <c r="I21" s="392"/>
      <c r="J21" s="393"/>
      <c r="K21" s="385"/>
    </row>
    <row r="22" spans="1:11" s="70" customFormat="1" ht="15" customHeight="1" x14ac:dyDescent="0.25">
      <c r="A22" s="396"/>
      <c r="B22" s="398"/>
      <c r="C22" s="375"/>
      <c r="D22" s="378"/>
      <c r="E22" s="375"/>
      <c r="F22" s="375"/>
      <c r="G22" s="375"/>
      <c r="H22" s="375"/>
      <c r="I22" s="392"/>
      <c r="J22" s="393"/>
      <c r="K22" s="385"/>
    </row>
    <row r="23" spans="1:11" s="70" customFormat="1" ht="15" customHeight="1" x14ac:dyDescent="0.25">
      <c r="A23" s="396"/>
      <c r="B23" s="398"/>
      <c r="C23" s="376"/>
      <c r="D23" s="379"/>
      <c r="E23" s="376"/>
      <c r="F23" s="376"/>
      <c r="G23" s="376"/>
      <c r="H23" s="376"/>
      <c r="I23" s="392"/>
      <c r="J23" s="393"/>
      <c r="K23" s="385"/>
    </row>
    <row r="24" spans="1:11" s="70" customFormat="1" ht="15" customHeight="1" x14ac:dyDescent="0.25">
      <c r="A24" s="396"/>
      <c r="B24" s="398"/>
      <c r="C24" s="376"/>
      <c r="D24" s="379"/>
      <c r="E24" s="376"/>
      <c r="F24" s="376"/>
      <c r="G24" s="376"/>
      <c r="H24" s="376"/>
      <c r="I24" s="392"/>
      <c r="J24" s="393"/>
      <c r="K24" s="385"/>
    </row>
    <row r="25" spans="1:11" s="70" customFormat="1" ht="15" customHeight="1" x14ac:dyDescent="0.25">
      <c r="A25" s="396"/>
      <c r="B25" s="399"/>
      <c r="C25" s="377"/>
      <c r="D25" s="382"/>
      <c r="E25" s="377"/>
      <c r="F25" s="377"/>
      <c r="G25" s="377"/>
      <c r="H25" s="377"/>
      <c r="I25" s="394"/>
      <c r="J25" s="395"/>
      <c r="K25" s="385"/>
    </row>
    <row r="26" spans="1:11" s="70" customFormat="1" ht="15" customHeight="1" x14ac:dyDescent="0.25">
      <c r="A26" s="396">
        <v>2</v>
      </c>
      <c r="B26" s="383"/>
      <c r="C26" s="375"/>
      <c r="D26" s="378"/>
      <c r="E26" s="375"/>
      <c r="F26" s="375"/>
      <c r="G26" s="375"/>
      <c r="H26" s="375"/>
      <c r="I26" s="383"/>
      <c r="J26" s="383"/>
      <c r="K26" s="385" t="s">
        <v>144</v>
      </c>
    </row>
    <row r="27" spans="1:11" s="70" customFormat="1" ht="15" customHeight="1" x14ac:dyDescent="0.25">
      <c r="A27" s="396"/>
      <c r="B27" s="383"/>
      <c r="C27" s="376"/>
      <c r="D27" s="379"/>
      <c r="E27" s="376"/>
      <c r="F27" s="376"/>
      <c r="G27" s="376"/>
      <c r="H27" s="376"/>
      <c r="I27" s="383"/>
      <c r="J27" s="383"/>
      <c r="K27" s="385"/>
    </row>
    <row r="28" spans="1:11" s="70" customFormat="1" ht="15" customHeight="1" x14ac:dyDescent="0.25">
      <c r="A28" s="396"/>
      <c r="B28" s="383"/>
      <c r="C28" s="376"/>
      <c r="D28" s="379"/>
      <c r="E28" s="376"/>
      <c r="F28" s="376"/>
      <c r="G28" s="376"/>
      <c r="H28" s="376"/>
      <c r="I28" s="383"/>
      <c r="J28" s="383"/>
      <c r="K28" s="385"/>
    </row>
    <row r="29" spans="1:11" s="70" customFormat="1" ht="15.6" customHeight="1" x14ac:dyDescent="0.25">
      <c r="A29" s="396"/>
      <c r="B29" s="383"/>
      <c r="C29" s="377"/>
      <c r="D29" s="382"/>
      <c r="E29" s="377"/>
      <c r="F29" s="377"/>
      <c r="G29" s="377"/>
      <c r="H29" s="377"/>
      <c r="I29" s="383"/>
      <c r="J29" s="383"/>
      <c r="K29" s="385"/>
    </row>
    <row r="30" spans="1:11" s="70" customFormat="1" ht="15" customHeight="1" x14ac:dyDescent="0.25">
      <c r="A30" s="396"/>
      <c r="B30" s="383"/>
      <c r="C30" s="375"/>
      <c r="D30" s="378"/>
      <c r="E30" s="375"/>
      <c r="F30" s="375"/>
      <c r="G30" s="375"/>
      <c r="H30" s="375"/>
      <c r="I30" s="383"/>
      <c r="J30" s="383"/>
      <c r="K30" s="385"/>
    </row>
    <row r="31" spans="1:11" s="70" customFormat="1" ht="15" customHeight="1" x14ac:dyDescent="0.25">
      <c r="A31" s="396"/>
      <c r="B31" s="383"/>
      <c r="C31" s="376"/>
      <c r="D31" s="379"/>
      <c r="E31" s="376"/>
      <c r="F31" s="376"/>
      <c r="G31" s="376"/>
      <c r="H31" s="376"/>
      <c r="I31" s="383"/>
      <c r="J31" s="383"/>
      <c r="K31" s="385"/>
    </row>
    <row r="32" spans="1:11" s="70" customFormat="1" ht="15" customHeight="1" x14ac:dyDescent="0.25">
      <c r="A32" s="396"/>
      <c r="B32" s="383"/>
      <c r="C32" s="376"/>
      <c r="D32" s="379"/>
      <c r="E32" s="376"/>
      <c r="F32" s="376"/>
      <c r="G32" s="376"/>
      <c r="H32" s="376"/>
      <c r="I32" s="383"/>
      <c r="J32" s="383"/>
      <c r="K32" s="385"/>
    </row>
    <row r="33" spans="1:11" s="70" customFormat="1" ht="15" customHeight="1" x14ac:dyDescent="0.25">
      <c r="A33" s="396"/>
      <c r="B33" s="383"/>
      <c r="C33" s="377"/>
      <c r="D33" s="382"/>
      <c r="E33" s="377"/>
      <c r="F33" s="377"/>
      <c r="G33" s="377"/>
      <c r="H33" s="377"/>
      <c r="I33" s="383"/>
      <c r="J33" s="383"/>
      <c r="K33" s="385"/>
    </row>
    <row r="34" spans="1:11" s="70" customFormat="1" ht="15" customHeight="1" x14ac:dyDescent="0.25">
      <c r="A34" s="396"/>
      <c r="B34" s="383"/>
      <c r="C34" s="375"/>
      <c r="D34" s="378"/>
      <c r="E34" s="375"/>
      <c r="F34" s="375"/>
      <c r="G34" s="375"/>
      <c r="H34" s="375"/>
      <c r="I34" s="383"/>
      <c r="J34" s="383"/>
      <c r="K34" s="385"/>
    </row>
    <row r="35" spans="1:11" s="70" customFormat="1" ht="15" customHeight="1" x14ac:dyDescent="0.25">
      <c r="A35" s="396"/>
      <c r="B35" s="383"/>
      <c r="C35" s="376"/>
      <c r="D35" s="379"/>
      <c r="E35" s="376"/>
      <c r="F35" s="376"/>
      <c r="G35" s="376"/>
      <c r="H35" s="376"/>
      <c r="I35" s="383"/>
      <c r="J35" s="383"/>
      <c r="K35" s="385"/>
    </row>
    <row r="36" spans="1:11" s="70" customFormat="1" ht="15" customHeight="1" x14ac:dyDescent="0.25">
      <c r="A36" s="396"/>
      <c r="B36" s="383"/>
      <c r="C36" s="376"/>
      <c r="D36" s="379"/>
      <c r="E36" s="376"/>
      <c r="F36" s="376"/>
      <c r="G36" s="376"/>
      <c r="H36" s="376"/>
      <c r="I36" s="383"/>
      <c r="J36" s="383"/>
      <c r="K36" s="385"/>
    </row>
    <row r="37" spans="1:11" s="70" customFormat="1" ht="15" customHeight="1" x14ac:dyDescent="0.25">
      <c r="A37" s="396"/>
      <c r="B37" s="383"/>
      <c r="C37" s="377"/>
      <c r="D37" s="382"/>
      <c r="E37" s="377"/>
      <c r="F37" s="377"/>
      <c r="G37" s="377"/>
      <c r="H37" s="377"/>
      <c r="I37" s="383"/>
      <c r="J37" s="383"/>
      <c r="K37" s="385"/>
    </row>
    <row r="38" spans="1:11" s="70" customFormat="1" ht="15" customHeight="1" x14ac:dyDescent="0.25">
      <c r="A38" s="396"/>
      <c r="B38" s="383"/>
      <c r="C38" s="375"/>
      <c r="D38" s="378"/>
      <c r="E38" s="375"/>
      <c r="F38" s="375"/>
      <c r="G38" s="375"/>
      <c r="H38" s="375"/>
      <c r="I38" s="383"/>
      <c r="J38" s="383"/>
      <c r="K38" s="385"/>
    </row>
    <row r="39" spans="1:11" s="70" customFormat="1" ht="15" customHeight="1" x14ac:dyDescent="0.25">
      <c r="A39" s="396"/>
      <c r="B39" s="383"/>
      <c r="C39" s="376"/>
      <c r="D39" s="379"/>
      <c r="E39" s="376"/>
      <c r="F39" s="376"/>
      <c r="G39" s="376"/>
      <c r="H39" s="376"/>
      <c r="I39" s="383"/>
      <c r="J39" s="383"/>
      <c r="K39" s="385"/>
    </row>
    <row r="40" spans="1:11" s="70" customFormat="1" ht="15" customHeight="1" x14ac:dyDescent="0.25">
      <c r="A40" s="396"/>
      <c r="B40" s="383"/>
      <c r="C40" s="376"/>
      <c r="D40" s="379"/>
      <c r="E40" s="376"/>
      <c r="F40" s="376"/>
      <c r="G40" s="376"/>
      <c r="H40" s="376"/>
      <c r="I40" s="383"/>
      <c r="J40" s="383"/>
      <c r="K40" s="385"/>
    </row>
    <row r="41" spans="1:11" s="70" customFormat="1" ht="15.6" customHeight="1" x14ac:dyDescent="0.25">
      <c r="A41" s="396"/>
      <c r="B41" s="383"/>
      <c r="C41" s="377"/>
      <c r="D41" s="382"/>
      <c r="E41" s="377"/>
      <c r="F41" s="377"/>
      <c r="G41" s="377"/>
      <c r="H41" s="377"/>
      <c r="I41" s="383"/>
      <c r="J41" s="383"/>
      <c r="K41" s="385"/>
    </row>
    <row r="42" spans="1:11" s="70" customFormat="1" ht="15" customHeight="1" x14ac:dyDescent="0.25">
      <c r="A42" s="396"/>
      <c r="B42" s="383"/>
      <c r="C42" s="375"/>
      <c r="D42" s="378"/>
      <c r="E42" s="375"/>
      <c r="F42" s="375"/>
      <c r="G42" s="375"/>
      <c r="H42" s="375"/>
      <c r="I42" s="383"/>
      <c r="J42" s="383"/>
      <c r="K42" s="385"/>
    </row>
    <row r="43" spans="1:11" s="70" customFormat="1" ht="15" customHeight="1" x14ac:dyDescent="0.25">
      <c r="A43" s="396"/>
      <c r="B43" s="383"/>
      <c r="C43" s="376"/>
      <c r="D43" s="379"/>
      <c r="E43" s="376"/>
      <c r="F43" s="376"/>
      <c r="G43" s="376"/>
      <c r="H43" s="376"/>
      <c r="I43" s="383"/>
      <c r="J43" s="383"/>
      <c r="K43" s="385"/>
    </row>
    <row r="44" spans="1:11" s="70" customFormat="1" ht="15" customHeight="1" x14ac:dyDescent="0.25">
      <c r="A44" s="396"/>
      <c r="B44" s="383"/>
      <c r="C44" s="376"/>
      <c r="D44" s="379"/>
      <c r="E44" s="376"/>
      <c r="F44" s="376"/>
      <c r="G44" s="376"/>
      <c r="H44" s="376"/>
      <c r="I44" s="383"/>
      <c r="J44" s="383"/>
      <c r="K44" s="385"/>
    </row>
    <row r="45" spans="1:11" s="70" customFormat="1" ht="15" customHeight="1" x14ac:dyDescent="0.25">
      <c r="A45" s="396"/>
      <c r="B45" s="383"/>
      <c r="C45" s="377"/>
      <c r="D45" s="382"/>
      <c r="E45" s="377"/>
      <c r="F45" s="377"/>
      <c r="G45" s="377"/>
      <c r="H45" s="377"/>
      <c r="I45" s="383"/>
      <c r="J45" s="383"/>
      <c r="K45" s="385"/>
    </row>
    <row r="46" spans="1:11" s="70" customFormat="1" ht="15" customHeight="1" x14ac:dyDescent="0.25">
      <c r="A46" s="396">
        <v>3</v>
      </c>
      <c r="B46" s="383"/>
      <c r="C46" s="375"/>
      <c r="D46" s="378"/>
      <c r="E46" s="375"/>
      <c r="F46" s="375"/>
      <c r="G46" s="375"/>
      <c r="H46" s="375"/>
      <c r="I46" s="383"/>
      <c r="J46" s="383"/>
      <c r="K46" s="385" t="s">
        <v>144</v>
      </c>
    </row>
    <row r="47" spans="1:11" s="70" customFormat="1" ht="15" customHeight="1" x14ac:dyDescent="0.25">
      <c r="A47" s="396"/>
      <c r="B47" s="383"/>
      <c r="C47" s="376"/>
      <c r="D47" s="379"/>
      <c r="E47" s="376"/>
      <c r="F47" s="376"/>
      <c r="G47" s="376"/>
      <c r="H47" s="376"/>
      <c r="I47" s="383"/>
      <c r="J47" s="383"/>
      <c r="K47" s="385"/>
    </row>
    <row r="48" spans="1:11" s="70" customFormat="1" ht="15" customHeight="1" x14ac:dyDescent="0.25">
      <c r="A48" s="396"/>
      <c r="B48" s="383"/>
      <c r="C48" s="376"/>
      <c r="D48" s="379"/>
      <c r="E48" s="376"/>
      <c r="F48" s="376"/>
      <c r="G48" s="376"/>
      <c r="H48" s="376"/>
      <c r="I48" s="383"/>
      <c r="J48" s="383"/>
      <c r="K48" s="385"/>
    </row>
    <row r="49" spans="1:11" s="70" customFormat="1" ht="15" customHeight="1" x14ac:dyDescent="0.25">
      <c r="A49" s="396"/>
      <c r="B49" s="383"/>
      <c r="C49" s="377"/>
      <c r="D49" s="382"/>
      <c r="E49" s="377"/>
      <c r="F49" s="377"/>
      <c r="G49" s="377"/>
      <c r="H49" s="377"/>
      <c r="I49" s="383"/>
      <c r="J49" s="383"/>
      <c r="K49" s="385"/>
    </row>
    <row r="50" spans="1:11" s="70" customFormat="1" ht="15" customHeight="1" x14ac:dyDescent="0.25">
      <c r="A50" s="396"/>
      <c r="B50" s="383"/>
      <c r="C50" s="375"/>
      <c r="D50" s="378"/>
      <c r="E50" s="375"/>
      <c r="F50" s="375"/>
      <c r="G50" s="375"/>
      <c r="H50" s="375"/>
      <c r="I50" s="383"/>
      <c r="J50" s="383"/>
      <c r="K50" s="385"/>
    </row>
    <row r="51" spans="1:11" s="70" customFormat="1" ht="15" customHeight="1" x14ac:dyDescent="0.25">
      <c r="A51" s="396"/>
      <c r="B51" s="383"/>
      <c r="C51" s="376"/>
      <c r="D51" s="379"/>
      <c r="E51" s="376"/>
      <c r="F51" s="376"/>
      <c r="G51" s="376"/>
      <c r="H51" s="376"/>
      <c r="I51" s="383"/>
      <c r="J51" s="383"/>
      <c r="K51" s="385"/>
    </row>
    <row r="52" spans="1:11" s="70" customFormat="1" ht="15" customHeight="1" x14ac:dyDescent="0.25">
      <c r="A52" s="396"/>
      <c r="B52" s="383"/>
      <c r="C52" s="376"/>
      <c r="D52" s="379"/>
      <c r="E52" s="376"/>
      <c r="F52" s="376"/>
      <c r="G52" s="376"/>
      <c r="H52" s="376"/>
      <c r="I52" s="383"/>
      <c r="J52" s="383"/>
      <c r="K52" s="385"/>
    </row>
    <row r="53" spans="1:11" s="70" customFormat="1" ht="15.6" customHeight="1" x14ac:dyDescent="0.25">
      <c r="A53" s="396"/>
      <c r="B53" s="383"/>
      <c r="C53" s="377"/>
      <c r="D53" s="382"/>
      <c r="E53" s="377"/>
      <c r="F53" s="377"/>
      <c r="G53" s="377"/>
      <c r="H53" s="377"/>
      <c r="I53" s="383"/>
      <c r="J53" s="383"/>
      <c r="K53" s="385"/>
    </row>
    <row r="54" spans="1:11" s="70" customFormat="1" ht="15" customHeight="1" x14ac:dyDescent="0.25">
      <c r="A54" s="396"/>
      <c r="B54" s="383"/>
      <c r="C54" s="375"/>
      <c r="D54" s="378"/>
      <c r="E54" s="375"/>
      <c r="F54" s="375"/>
      <c r="G54" s="375"/>
      <c r="H54" s="375"/>
      <c r="I54" s="383"/>
      <c r="J54" s="383"/>
      <c r="K54" s="385"/>
    </row>
    <row r="55" spans="1:11" s="70" customFormat="1" ht="15" customHeight="1" x14ac:dyDescent="0.25">
      <c r="A55" s="396"/>
      <c r="B55" s="383"/>
      <c r="C55" s="376"/>
      <c r="D55" s="379"/>
      <c r="E55" s="376"/>
      <c r="F55" s="376"/>
      <c r="G55" s="376"/>
      <c r="H55" s="376"/>
      <c r="I55" s="383"/>
      <c r="J55" s="383"/>
      <c r="K55" s="385"/>
    </row>
    <row r="56" spans="1:11" s="70" customFormat="1" ht="15" customHeight="1" x14ac:dyDescent="0.25">
      <c r="A56" s="396"/>
      <c r="B56" s="383"/>
      <c r="C56" s="376"/>
      <c r="D56" s="379"/>
      <c r="E56" s="376"/>
      <c r="F56" s="376"/>
      <c r="G56" s="376"/>
      <c r="H56" s="376"/>
      <c r="I56" s="383"/>
      <c r="J56" s="383"/>
      <c r="K56" s="385"/>
    </row>
    <row r="57" spans="1:11" s="70" customFormat="1" ht="15" customHeight="1" x14ac:dyDescent="0.25">
      <c r="A57" s="396"/>
      <c r="B57" s="383"/>
      <c r="C57" s="377"/>
      <c r="D57" s="382"/>
      <c r="E57" s="377"/>
      <c r="F57" s="377"/>
      <c r="G57" s="377"/>
      <c r="H57" s="377"/>
      <c r="I57" s="383"/>
      <c r="J57" s="383"/>
      <c r="K57" s="385"/>
    </row>
    <row r="58" spans="1:11" s="70" customFormat="1" ht="15" customHeight="1" x14ac:dyDescent="0.25">
      <c r="A58" s="396"/>
      <c r="B58" s="383"/>
      <c r="C58" s="375"/>
      <c r="D58" s="378"/>
      <c r="E58" s="375"/>
      <c r="F58" s="375"/>
      <c r="G58" s="375"/>
      <c r="H58" s="375"/>
      <c r="I58" s="383"/>
      <c r="J58" s="383"/>
      <c r="K58" s="385"/>
    </row>
    <row r="59" spans="1:11" s="70" customFormat="1" ht="15" customHeight="1" x14ac:dyDescent="0.25">
      <c r="A59" s="396"/>
      <c r="B59" s="383"/>
      <c r="C59" s="376"/>
      <c r="D59" s="379"/>
      <c r="E59" s="376"/>
      <c r="F59" s="376"/>
      <c r="G59" s="376"/>
      <c r="H59" s="376"/>
      <c r="I59" s="383"/>
      <c r="J59" s="383"/>
      <c r="K59" s="385"/>
    </row>
    <row r="60" spans="1:11" s="70" customFormat="1" ht="15" customHeight="1" x14ac:dyDescent="0.25">
      <c r="A60" s="396"/>
      <c r="B60" s="383"/>
      <c r="C60" s="376"/>
      <c r="D60" s="379"/>
      <c r="E60" s="376"/>
      <c r="F60" s="376"/>
      <c r="G60" s="376"/>
      <c r="H60" s="376"/>
      <c r="I60" s="383"/>
      <c r="J60" s="383"/>
      <c r="K60" s="385"/>
    </row>
    <row r="61" spans="1:11" s="70" customFormat="1" ht="15" customHeight="1" x14ac:dyDescent="0.25">
      <c r="A61" s="396"/>
      <c r="B61" s="383"/>
      <c r="C61" s="377"/>
      <c r="D61" s="382"/>
      <c r="E61" s="377"/>
      <c r="F61" s="377"/>
      <c r="G61" s="377"/>
      <c r="H61" s="377"/>
      <c r="I61" s="383"/>
      <c r="J61" s="383"/>
      <c r="K61" s="385"/>
    </row>
    <row r="62" spans="1:11" s="70" customFormat="1" ht="15" customHeight="1" x14ac:dyDescent="0.25">
      <c r="A62" s="396"/>
      <c r="B62" s="383"/>
      <c r="C62" s="375"/>
      <c r="D62" s="378"/>
      <c r="E62" s="375"/>
      <c r="F62" s="375"/>
      <c r="G62" s="375"/>
      <c r="H62" s="375"/>
      <c r="I62" s="383"/>
      <c r="J62" s="383"/>
      <c r="K62" s="385"/>
    </row>
    <row r="63" spans="1:11" s="70" customFormat="1" ht="15" customHeight="1" x14ac:dyDescent="0.25">
      <c r="A63" s="396"/>
      <c r="B63" s="383"/>
      <c r="C63" s="376"/>
      <c r="D63" s="379"/>
      <c r="E63" s="376"/>
      <c r="F63" s="376"/>
      <c r="G63" s="376"/>
      <c r="H63" s="376"/>
      <c r="I63" s="383"/>
      <c r="J63" s="383"/>
      <c r="K63" s="385"/>
    </row>
    <row r="64" spans="1:11" s="70" customFormat="1" ht="15" customHeight="1" x14ac:dyDescent="0.25">
      <c r="A64" s="396"/>
      <c r="B64" s="383"/>
      <c r="C64" s="376"/>
      <c r="D64" s="379"/>
      <c r="E64" s="376"/>
      <c r="F64" s="376"/>
      <c r="G64" s="376"/>
      <c r="H64" s="376"/>
      <c r="I64" s="383"/>
      <c r="J64" s="383"/>
      <c r="K64" s="385"/>
    </row>
    <row r="65" spans="1:11" s="70" customFormat="1" ht="15.6" customHeight="1" x14ac:dyDescent="0.25">
      <c r="A65" s="396"/>
      <c r="B65" s="383"/>
      <c r="C65" s="377"/>
      <c r="D65" s="382"/>
      <c r="E65" s="377"/>
      <c r="F65" s="377"/>
      <c r="G65" s="377"/>
      <c r="H65" s="377"/>
      <c r="I65" s="383"/>
      <c r="J65" s="383"/>
      <c r="K65" s="385"/>
    </row>
    <row r="66" spans="1:11" s="70" customFormat="1" ht="17.100000000000001" customHeight="1" x14ac:dyDescent="0.25">
      <c r="A66" s="396">
        <v>4</v>
      </c>
      <c r="B66" s="383"/>
      <c r="C66" s="375"/>
      <c r="D66" s="378"/>
      <c r="E66" s="375"/>
      <c r="F66" s="375"/>
      <c r="G66" s="375"/>
      <c r="H66" s="375"/>
      <c r="I66" s="383"/>
      <c r="J66" s="383"/>
      <c r="K66" s="385" t="s">
        <v>144</v>
      </c>
    </row>
    <row r="67" spans="1:11" s="70" customFormat="1" ht="17.100000000000001" customHeight="1" x14ac:dyDescent="0.25">
      <c r="A67" s="396"/>
      <c r="B67" s="383"/>
      <c r="C67" s="376"/>
      <c r="D67" s="379"/>
      <c r="E67" s="376"/>
      <c r="F67" s="376"/>
      <c r="G67" s="376"/>
      <c r="H67" s="376"/>
      <c r="I67" s="383"/>
      <c r="J67" s="383"/>
      <c r="K67" s="385"/>
    </row>
    <row r="68" spans="1:11" s="70" customFormat="1" ht="17.100000000000001" customHeight="1" x14ac:dyDescent="0.25">
      <c r="A68" s="396"/>
      <c r="B68" s="383"/>
      <c r="C68" s="376"/>
      <c r="D68" s="379"/>
      <c r="E68" s="376"/>
      <c r="F68" s="376"/>
      <c r="G68" s="376"/>
      <c r="H68" s="376"/>
      <c r="I68" s="383"/>
      <c r="J68" s="383"/>
      <c r="K68" s="385"/>
    </row>
    <row r="69" spans="1:11" s="70" customFormat="1" ht="17.100000000000001" customHeight="1" x14ac:dyDescent="0.25">
      <c r="A69" s="396"/>
      <c r="B69" s="383"/>
      <c r="C69" s="377"/>
      <c r="D69" s="382"/>
      <c r="E69" s="377"/>
      <c r="F69" s="377"/>
      <c r="G69" s="377"/>
      <c r="H69" s="377"/>
      <c r="I69" s="383"/>
      <c r="J69" s="383"/>
      <c r="K69" s="385"/>
    </row>
    <row r="70" spans="1:11" s="70" customFormat="1" ht="17.100000000000001" customHeight="1" x14ac:dyDescent="0.25">
      <c r="A70" s="396"/>
      <c r="B70" s="383"/>
      <c r="C70" s="375"/>
      <c r="D70" s="378"/>
      <c r="E70" s="375"/>
      <c r="F70" s="375"/>
      <c r="G70" s="375"/>
      <c r="H70" s="375"/>
      <c r="I70" s="383"/>
      <c r="J70" s="383"/>
      <c r="K70" s="385"/>
    </row>
    <row r="71" spans="1:11" s="70" customFormat="1" ht="17.100000000000001" customHeight="1" x14ac:dyDescent="0.25">
      <c r="A71" s="396"/>
      <c r="B71" s="383"/>
      <c r="C71" s="376"/>
      <c r="D71" s="379"/>
      <c r="E71" s="376"/>
      <c r="F71" s="376"/>
      <c r="G71" s="376"/>
      <c r="H71" s="376"/>
      <c r="I71" s="383"/>
      <c r="J71" s="383"/>
      <c r="K71" s="385"/>
    </row>
    <row r="72" spans="1:11" s="70" customFormat="1" ht="17.100000000000001" customHeight="1" x14ac:dyDescent="0.25">
      <c r="A72" s="396"/>
      <c r="B72" s="383"/>
      <c r="C72" s="376"/>
      <c r="D72" s="379"/>
      <c r="E72" s="376"/>
      <c r="F72" s="376"/>
      <c r="G72" s="376"/>
      <c r="H72" s="376"/>
      <c r="I72" s="383"/>
      <c r="J72" s="383"/>
      <c r="K72" s="385"/>
    </row>
    <row r="73" spans="1:11" s="70" customFormat="1" ht="17.100000000000001" customHeight="1" x14ac:dyDescent="0.25">
      <c r="A73" s="396"/>
      <c r="B73" s="383"/>
      <c r="C73" s="377"/>
      <c r="D73" s="382"/>
      <c r="E73" s="377"/>
      <c r="F73" s="377"/>
      <c r="G73" s="377"/>
      <c r="H73" s="377"/>
      <c r="I73" s="383"/>
      <c r="J73" s="383"/>
      <c r="K73" s="385"/>
    </row>
    <row r="74" spans="1:11" s="70" customFormat="1" ht="17.100000000000001" customHeight="1" x14ac:dyDescent="0.25">
      <c r="A74" s="396"/>
      <c r="B74" s="383"/>
      <c r="C74" s="375"/>
      <c r="D74" s="378"/>
      <c r="E74" s="375"/>
      <c r="F74" s="375"/>
      <c r="G74" s="375"/>
      <c r="H74" s="375"/>
      <c r="I74" s="383"/>
      <c r="J74" s="383"/>
      <c r="K74" s="385"/>
    </row>
    <row r="75" spans="1:11" s="70" customFormat="1" ht="17.100000000000001" customHeight="1" x14ac:dyDescent="0.25">
      <c r="A75" s="396"/>
      <c r="B75" s="383"/>
      <c r="C75" s="376"/>
      <c r="D75" s="379"/>
      <c r="E75" s="376"/>
      <c r="F75" s="376"/>
      <c r="G75" s="376"/>
      <c r="H75" s="376"/>
      <c r="I75" s="383"/>
      <c r="J75" s="383"/>
      <c r="K75" s="385"/>
    </row>
    <row r="76" spans="1:11" s="70" customFormat="1" ht="17.100000000000001" customHeight="1" x14ac:dyDescent="0.25">
      <c r="A76" s="396"/>
      <c r="B76" s="383"/>
      <c r="C76" s="376"/>
      <c r="D76" s="379"/>
      <c r="E76" s="376"/>
      <c r="F76" s="376"/>
      <c r="G76" s="376"/>
      <c r="H76" s="376"/>
      <c r="I76" s="383"/>
      <c r="J76" s="383"/>
      <c r="K76" s="385"/>
    </row>
    <row r="77" spans="1:11" s="70" customFormat="1" ht="17.100000000000001" customHeight="1" x14ac:dyDescent="0.25">
      <c r="A77" s="396"/>
      <c r="B77" s="383"/>
      <c r="C77" s="377"/>
      <c r="D77" s="382"/>
      <c r="E77" s="377"/>
      <c r="F77" s="377"/>
      <c r="G77" s="377"/>
      <c r="H77" s="377"/>
      <c r="I77" s="383"/>
      <c r="J77" s="383"/>
      <c r="K77" s="385"/>
    </row>
    <row r="78" spans="1:11" s="70" customFormat="1" ht="17.100000000000001" customHeight="1" x14ac:dyDescent="0.25">
      <c r="A78" s="396"/>
      <c r="B78" s="383"/>
      <c r="C78" s="375"/>
      <c r="D78" s="378"/>
      <c r="E78" s="375"/>
      <c r="F78" s="375"/>
      <c r="G78" s="375"/>
      <c r="H78" s="375"/>
      <c r="I78" s="383"/>
      <c r="J78" s="383"/>
      <c r="K78" s="385"/>
    </row>
    <row r="79" spans="1:11" s="70" customFormat="1" ht="17.100000000000001" customHeight="1" x14ac:dyDescent="0.25">
      <c r="A79" s="396"/>
      <c r="B79" s="383"/>
      <c r="C79" s="376"/>
      <c r="D79" s="379"/>
      <c r="E79" s="376"/>
      <c r="F79" s="376"/>
      <c r="G79" s="376"/>
      <c r="H79" s="376"/>
      <c r="I79" s="383"/>
      <c r="J79" s="383"/>
      <c r="K79" s="385"/>
    </row>
    <row r="80" spans="1:11" s="70" customFormat="1" ht="17.100000000000001" customHeight="1" x14ac:dyDescent="0.25">
      <c r="A80" s="396"/>
      <c r="B80" s="383"/>
      <c r="C80" s="376"/>
      <c r="D80" s="379"/>
      <c r="E80" s="376"/>
      <c r="F80" s="376"/>
      <c r="G80" s="376"/>
      <c r="H80" s="376"/>
      <c r="I80" s="383"/>
      <c r="J80" s="383"/>
      <c r="K80" s="385"/>
    </row>
    <row r="81" spans="1:11" s="70" customFormat="1" ht="17.100000000000001" customHeight="1" x14ac:dyDescent="0.25">
      <c r="A81" s="396"/>
      <c r="B81" s="383"/>
      <c r="C81" s="377"/>
      <c r="D81" s="382"/>
      <c r="E81" s="377"/>
      <c r="F81" s="377"/>
      <c r="G81" s="377"/>
      <c r="H81" s="377"/>
      <c r="I81" s="383"/>
      <c r="J81" s="383"/>
      <c r="K81" s="385"/>
    </row>
    <row r="82" spans="1:11" s="70" customFormat="1" ht="17.100000000000001" customHeight="1" x14ac:dyDescent="0.25">
      <c r="A82" s="396"/>
      <c r="B82" s="383"/>
      <c r="C82" s="375"/>
      <c r="D82" s="378"/>
      <c r="E82" s="375"/>
      <c r="F82" s="375"/>
      <c r="G82" s="375"/>
      <c r="H82" s="375"/>
      <c r="I82" s="383"/>
      <c r="J82" s="383"/>
      <c r="K82" s="385"/>
    </row>
    <row r="83" spans="1:11" s="70" customFormat="1" ht="17.100000000000001" customHeight="1" x14ac:dyDescent="0.25">
      <c r="A83" s="396"/>
      <c r="B83" s="383"/>
      <c r="C83" s="376"/>
      <c r="D83" s="379"/>
      <c r="E83" s="376"/>
      <c r="F83" s="376"/>
      <c r="G83" s="376"/>
      <c r="H83" s="376"/>
      <c r="I83" s="383"/>
      <c r="J83" s="383"/>
      <c r="K83" s="385"/>
    </row>
    <row r="84" spans="1:11" s="70" customFormat="1" ht="17.100000000000001" customHeight="1" x14ac:dyDescent="0.25">
      <c r="A84" s="396"/>
      <c r="B84" s="383"/>
      <c r="C84" s="376"/>
      <c r="D84" s="379"/>
      <c r="E84" s="376"/>
      <c r="F84" s="376"/>
      <c r="G84" s="376"/>
      <c r="H84" s="376"/>
      <c r="I84" s="383"/>
      <c r="J84" s="383"/>
      <c r="K84" s="385"/>
    </row>
    <row r="85" spans="1:11" s="70" customFormat="1" ht="17.100000000000001" customHeight="1" thickBot="1" x14ac:dyDescent="0.3">
      <c r="A85" s="400"/>
      <c r="B85" s="384"/>
      <c r="C85" s="377"/>
      <c r="D85" s="380"/>
      <c r="E85" s="381"/>
      <c r="F85" s="381"/>
      <c r="G85" s="381"/>
      <c r="H85" s="381"/>
      <c r="I85" s="384"/>
      <c r="J85" s="384"/>
      <c r="K85" s="385"/>
    </row>
    <row r="86" spans="1:11" s="70" customFormat="1" ht="18" customHeight="1" thickBot="1" x14ac:dyDescent="0.3">
      <c r="A86" s="313"/>
      <c r="B86" s="314"/>
      <c r="C86" s="315"/>
      <c r="D86" s="315"/>
      <c r="E86" s="315"/>
      <c r="F86" s="316"/>
      <c r="G86" s="317"/>
      <c r="H86" s="317"/>
      <c r="I86" s="318"/>
      <c r="J86" s="318"/>
      <c r="K86" s="319"/>
    </row>
    <row r="87" spans="1:11" s="70" customFormat="1" ht="51" customHeight="1" thickBot="1" x14ac:dyDescent="0.3">
      <c r="A87" s="201"/>
      <c r="B87" s="201"/>
      <c r="C87" s="201"/>
      <c r="D87" s="201"/>
      <c r="F87" s="89"/>
      <c r="G87" s="370"/>
      <c r="H87" s="371"/>
      <c r="I87" s="371"/>
      <c r="J87" s="371"/>
      <c r="K87" s="372"/>
    </row>
    <row r="88" spans="1:11" s="70" customFormat="1" ht="43.5" customHeight="1" thickBot="1" x14ac:dyDescent="0.55000000000000004">
      <c r="A88" s="201"/>
      <c r="B88" s="201"/>
      <c r="C88" s="201"/>
      <c r="D88" s="201"/>
      <c r="F88" s="91"/>
      <c r="G88" s="320" t="str">
        <f>IF(Sprache="English","date:",IF(Sprache="Deutsch","Datum:",""))</f>
        <v>Datum:</v>
      </c>
      <c r="H88" s="345">
        <f>Infos!$B$6</f>
        <v>0</v>
      </c>
      <c r="I88" s="356" t="str">
        <f>IF(Sprache="English","issued by:",IF(Sprache="Deutsch","durchgeführt von:",""))</f>
        <v>durchgeführt von:</v>
      </c>
      <c r="J88" s="321">
        <f>Infos!D5</f>
        <v>0</v>
      </c>
      <c r="K88" s="322">
        <f>Infos!D6</f>
        <v>0</v>
      </c>
    </row>
    <row r="89" spans="1:11" s="70" customFormat="1" ht="46.5" customHeight="1" thickBot="1" x14ac:dyDescent="0.55000000000000004">
      <c r="A89" s="201"/>
      <c r="B89" s="201"/>
      <c r="C89" s="201"/>
      <c r="D89" s="201"/>
      <c r="F89" s="62"/>
      <c r="G89" s="323"/>
      <c r="H89" s="323"/>
      <c r="I89" s="324" t="str">
        <f>IF(Sprache="English","signature supervisor",IF(Sprache="Deutsch","Visum Meister",""))</f>
        <v>Visum Meister</v>
      </c>
      <c r="J89" s="321"/>
      <c r="K89" s="322" t="s">
        <v>105</v>
      </c>
    </row>
    <row r="90" spans="1:11" s="70" customFormat="1" ht="10.5" customHeight="1" x14ac:dyDescent="0.25">
      <c r="A90" s="201"/>
      <c r="B90" s="201"/>
      <c r="C90" s="201"/>
      <c r="D90" s="201"/>
    </row>
    <row r="91" spans="1:11" s="70" customFormat="1" ht="17.100000000000001" customHeight="1" x14ac:dyDescent="0.25">
      <c r="A91" s="201"/>
      <c r="B91" s="261"/>
      <c r="C91" s="201"/>
      <c r="D91" s="201"/>
    </row>
    <row r="92" spans="1:11" s="70" customFormat="1" ht="17.100000000000001" customHeight="1" x14ac:dyDescent="0.25">
      <c r="A92" s="201"/>
      <c r="B92" s="261"/>
      <c r="C92" s="201"/>
      <c r="D92" s="201"/>
    </row>
    <row r="93" spans="1:11" s="70" customFormat="1" ht="17.100000000000001" customHeight="1" x14ac:dyDescent="0.25">
      <c r="A93" s="201"/>
      <c r="B93" s="261"/>
      <c r="C93" s="201"/>
      <c r="D93" s="201"/>
    </row>
    <row r="94" spans="1:11" s="70" customFormat="1" ht="8.25" customHeight="1" x14ac:dyDescent="0.25">
      <c r="A94" s="201"/>
      <c r="B94" s="261"/>
      <c r="C94" s="201"/>
      <c r="D94" s="201"/>
    </row>
    <row r="95" spans="1:11" s="70" customFormat="1" ht="3" customHeight="1" x14ac:dyDescent="0.25">
      <c r="A95" s="201"/>
      <c r="B95" s="261"/>
      <c r="C95" s="201"/>
      <c r="D95" s="201"/>
    </row>
    <row r="96" spans="1:11" s="70" customFormat="1" ht="6.75" customHeight="1" x14ac:dyDescent="0.25">
      <c r="A96" s="201"/>
      <c r="B96" s="261"/>
      <c r="C96" s="201"/>
      <c r="D96" s="201"/>
    </row>
    <row r="97" spans="1:4" s="70" customFormat="1" ht="6" customHeight="1" x14ac:dyDescent="0.25">
      <c r="A97" s="201"/>
      <c r="B97" s="261"/>
      <c r="C97" s="201"/>
      <c r="D97" s="201"/>
    </row>
    <row r="98" spans="1:4" s="70" customFormat="1" ht="0.75" hidden="1" customHeight="1" x14ac:dyDescent="0.25">
      <c r="A98" s="201"/>
      <c r="B98" s="261"/>
      <c r="C98" s="201"/>
      <c r="D98" s="201"/>
    </row>
    <row r="99" spans="1:4" s="70" customFormat="1" ht="6.75" customHeight="1" x14ac:dyDescent="0.25">
      <c r="A99" s="201"/>
      <c r="B99" s="261"/>
      <c r="C99" s="201"/>
      <c r="D99" s="201"/>
    </row>
    <row r="100" spans="1:4" s="70" customFormat="1" ht="17.100000000000001" customHeight="1" x14ac:dyDescent="0.25">
      <c r="A100" s="307" t="str">
        <f>IF(Sprache="English","problems &amp; measures 1",IF(Sprache="Deutsch","Probleme &amp; Massnahmen 1",""))</f>
        <v>Probleme &amp; Massnahmen 1</v>
      </c>
      <c r="B100" s="308" t="str">
        <f>A100</f>
        <v>Probleme &amp; Massnahmen 1</v>
      </c>
      <c r="C100" s="201"/>
      <c r="D100" s="201"/>
    </row>
    <row r="101" spans="1:4" s="70" customFormat="1" ht="17.100000000000001" customHeight="1" x14ac:dyDescent="0.25">
      <c r="A101" s="307"/>
      <c r="B101" s="308"/>
      <c r="C101" s="201"/>
      <c r="D101" s="201"/>
    </row>
    <row r="102" spans="1:4" s="70" customFormat="1" ht="17.100000000000001" customHeight="1" x14ac:dyDescent="0.25">
      <c r="A102" s="201"/>
      <c r="B102" s="261"/>
      <c r="C102" s="201"/>
      <c r="D102" s="201"/>
    </row>
    <row r="103" spans="1:4" s="70" customFormat="1" ht="17.100000000000001" customHeight="1" x14ac:dyDescent="0.25">
      <c r="A103" s="201"/>
      <c r="B103" s="201"/>
      <c r="C103" s="201"/>
      <c r="D103" s="201"/>
    </row>
    <row r="104" spans="1:4" s="70" customFormat="1" ht="17.100000000000001" customHeight="1" x14ac:dyDescent="0.25">
      <c r="A104" s="201"/>
      <c r="B104" s="201"/>
      <c r="C104" s="201"/>
      <c r="D104" s="201"/>
    </row>
    <row r="105" spans="1:4" s="70" customFormat="1" ht="17.100000000000001" customHeight="1" x14ac:dyDescent="0.25">
      <c r="A105" s="201"/>
      <c r="B105" s="201"/>
      <c r="C105" s="201"/>
      <c r="D105" s="201"/>
    </row>
    <row r="106" spans="1:4" s="70" customFormat="1" ht="17.100000000000001" customHeight="1" x14ac:dyDescent="0.25">
      <c r="A106" s="201"/>
      <c r="B106" s="201"/>
      <c r="C106" s="201"/>
      <c r="D106" s="201"/>
    </row>
    <row r="107" spans="1:4" s="70" customFormat="1" ht="17.100000000000001" customHeight="1" x14ac:dyDescent="0.25">
      <c r="A107" s="201"/>
      <c r="B107" s="201"/>
      <c r="C107" s="201"/>
      <c r="D107" s="201"/>
    </row>
    <row r="108" spans="1:4" s="70" customFormat="1" ht="17.100000000000001" customHeight="1" x14ac:dyDescent="0.25">
      <c r="A108" s="201"/>
      <c r="B108" s="201"/>
      <c r="C108" s="201"/>
      <c r="D108" s="201"/>
    </row>
    <row r="109" spans="1:4" s="70" customFormat="1" ht="17.100000000000001" customHeight="1" x14ac:dyDescent="0.25">
      <c r="A109" s="201"/>
      <c r="B109" s="201"/>
      <c r="C109" s="201"/>
      <c r="D109" s="201"/>
    </row>
    <row r="110" spans="1:4" s="70" customFormat="1" ht="17.100000000000001" customHeight="1" x14ac:dyDescent="0.25">
      <c r="A110" s="201"/>
      <c r="B110" s="201"/>
      <c r="C110" s="201"/>
      <c r="D110" s="201"/>
    </row>
    <row r="111" spans="1:4" s="70" customFormat="1" ht="17.100000000000001" customHeight="1" x14ac:dyDescent="0.25">
      <c r="A111" s="201"/>
      <c r="B111" s="201"/>
      <c r="C111" s="201"/>
      <c r="D111" s="201"/>
    </row>
    <row r="112" spans="1:4" s="70" customFormat="1" ht="17.100000000000001" customHeight="1" x14ac:dyDescent="0.25">
      <c r="A112" s="201"/>
      <c r="B112" s="201"/>
      <c r="C112" s="201"/>
      <c r="D112" s="201"/>
    </row>
    <row r="113" spans="1:19" s="70" customFormat="1" ht="17.100000000000001" customHeight="1" x14ac:dyDescent="0.25">
      <c r="A113" s="201"/>
      <c r="B113" s="201"/>
      <c r="C113" s="201"/>
      <c r="D113" s="201"/>
    </row>
    <row r="114" spans="1:19" s="70" customFormat="1" ht="17.100000000000001" customHeight="1" x14ac:dyDescent="0.25">
      <c r="A114" s="201"/>
      <c r="B114" s="201"/>
      <c r="C114" s="201"/>
      <c r="D114" s="201"/>
    </row>
    <row r="115" spans="1:19" s="70" customFormat="1" ht="17.100000000000001" customHeight="1" x14ac:dyDescent="0.25">
      <c r="A115" s="201"/>
      <c r="B115" s="201"/>
      <c r="C115" s="201"/>
      <c r="D115" s="201"/>
    </row>
    <row r="116" spans="1:19" s="70" customFormat="1" ht="17.100000000000001" customHeight="1" x14ac:dyDescent="0.25">
      <c r="A116" s="201"/>
      <c r="B116" s="201"/>
      <c r="C116" s="201"/>
      <c r="D116" s="201"/>
    </row>
    <row r="117" spans="1:19" s="70" customFormat="1" ht="17.100000000000001" customHeight="1" x14ac:dyDescent="0.25">
      <c r="A117" s="201"/>
      <c r="B117" s="201"/>
      <c r="C117" s="201"/>
      <c r="D117" s="201"/>
    </row>
    <row r="118" spans="1:19" s="70" customFormat="1" ht="17.100000000000001" customHeight="1" x14ac:dyDescent="0.25">
      <c r="A118" s="201"/>
      <c r="B118" s="201"/>
      <c r="C118" s="201"/>
      <c r="D118" s="201"/>
    </row>
    <row r="119" spans="1:19" s="70" customFormat="1" ht="22.8" x14ac:dyDescent="0.25">
      <c r="A119" s="201"/>
      <c r="B119" s="201"/>
      <c r="C119" s="201"/>
      <c r="D119" s="201"/>
      <c r="S119" s="262"/>
    </row>
    <row r="120" spans="1:19" s="70" customFormat="1" ht="17.100000000000001" customHeight="1" x14ac:dyDescent="0.25">
      <c r="A120" s="201"/>
      <c r="B120" s="201"/>
      <c r="C120" s="201"/>
      <c r="D120" s="201"/>
      <c r="S120" s="262"/>
    </row>
    <row r="121" spans="1:19" s="70" customFormat="1" ht="17.100000000000001" customHeight="1" x14ac:dyDescent="0.25">
      <c r="A121" s="201"/>
      <c r="B121" s="201"/>
      <c r="C121" s="201"/>
      <c r="D121" s="201"/>
      <c r="S121" s="262"/>
    </row>
    <row r="122" spans="1:19" s="70" customFormat="1" ht="17.100000000000001" customHeight="1" x14ac:dyDescent="0.25">
      <c r="A122" s="201"/>
      <c r="B122" s="201"/>
      <c r="C122" s="201"/>
      <c r="D122" s="201"/>
      <c r="S122" s="262"/>
    </row>
    <row r="123" spans="1:19" s="70" customFormat="1" ht="17.100000000000001" customHeight="1" x14ac:dyDescent="0.25">
      <c r="A123" s="201"/>
      <c r="B123" s="201"/>
      <c r="C123" s="201"/>
      <c r="D123" s="201"/>
      <c r="S123" s="262"/>
    </row>
    <row r="124" spans="1:19" s="70" customFormat="1" ht="17.100000000000001" customHeight="1" x14ac:dyDescent="0.25">
      <c r="A124" s="201"/>
      <c r="B124" s="201"/>
      <c r="C124" s="201"/>
      <c r="D124" s="201"/>
      <c r="S124" s="262"/>
    </row>
    <row r="125" spans="1:19" s="70" customFormat="1" ht="17.100000000000001" customHeight="1" x14ac:dyDescent="0.25">
      <c r="A125" s="201"/>
      <c r="B125" s="201"/>
      <c r="C125" s="201"/>
      <c r="D125" s="201"/>
      <c r="S125" s="262"/>
    </row>
    <row r="126" spans="1:19" s="70" customFormat="1" ht="17.100000000000001" customHeight="1" x14ac:dyDescent="0.25">
      <c r="A126" s="201"/>
      <c r="B126" s="201"/>
      <c r="C126" s="201"/>
      <c r="D126" s="201"/>
      <c r="S126" s="262"/>
    </row>
    <row r="127" spans="1:19" s="70" customFormat="1" ht="17.100000000000001" customHeight="1" x14ac:dyDescent="0.25">
      <c r="A127" s="201"/>
      <c r="B127" s="201"/>
      <c r="C127" s="201"/>
      <c r="D127" s="201"/>
      <c r="S127" s="262"/>
    </row>
    <row r="128" spans="1:19" s="70" customFormat="1" ht="17.100000000000001" customHeight="1" x14ac:dyDescent="0.25">
      <c r="A128" s="201"/>
      <c r="B128" s="201"/>
      <c r="C128" s="201"/>
      <c r="D128" s="201"/>
      <c r="S128" s="262"/>
    </row>
    <row r="129" spans="1:19" s="70" customFormat="1" ht="17.100000000000001" customHeight="1" x14ac:dyDescent="0.25">
      <c r="A129" s="201"/>
      <c r="B129" s="201"/>
      <c r="C129" s="201"/>
      <c r="D129" s="201"/>
      <c r="S129" s="262"/>
    </row>
    <row r="130" spans="1:19" s="70" customFormat="1" ht="17.100000000000001" customHeight="1" x14ac:dyDescent="0.25">
      <c r="A130" s="201"/>
      <c r="B130" s="201"/>
      <c r="C130" s="201"/>
      <c r="D130" s="201"/>
      <c r="S130" s="262"/>
    </row>
    <row r="131" spans="1:19" s="70" customFormat="1" ht="17.100000000000001" customHeight="1" x14ac:dyDescent="0.25">
      <c r="A131" s="201"/>
      <c r="B131" s="201"/>
      <c r="C131" s="201"/>
      <c r="D131" s="201"/>
    </row>
    <row r="132" spans="1:19" s="70" customFormat="1" ht="17.100000000000001" customHeight="1" x14ac:dyDescent="0.25">
      <c r="A132" s="201"/>
      <c r="B132" s="201"/>
      <c r="C132" s="201"/>
      <c r="D132" s="201"/>
    </row>
    <row r="133" spans="1:19" s="70" customFormat="1" ht="17.100000000000001" customHeight="1" x14ac:dyDescent="0.25">
      <c r="A133" s="201"/>
      <c r="B133" s="201"/>
      <c r="C133" s="201"/>
      <c r="D133" s="201"/>
    </row>
    <row r="134" spans="1:19" s="70" customFormat="1" ht="17.100000000000001" customHeight="1" x14ac:dyDescent="0.25">
      <c r="A134" s="201"/>
      <c r="B134" s="201"/>
      <c r="C134" s="201"/>
      <c r="D134" s="201"/>
    </row>
    <row r="135" spans="1:19" s="70" customFormat="1" ht="17.100000000000001" customHeight="1" x14ac:dyDescent="0.25">
      <c r="A135" s="201"/>
      <c r="B135" s="201"/>
      <c r="C135" s="201"/>
      <c r="D135" s="201"/>
    </row>
    <row r="136" spans="1:19" s="70" customFormat="1" ht="17.100000000000001" customHeight="1" x14ac:dyDescent="0.25">
      <c r="A136" s="201"/>
      <c r="B136" s="201"/>
      <c r="C136" s="201"/>
      <c r="D136" s="201"/>
    </row>
    <row r="137" spans="1:19" s="70" customFormat="1" ht="17.100000000000001" customHeight="1" x14ac:dyDescent="0.25">
      <c r="A137" s="201"/>
      <c r="B137" s="201"/>
      <c r="C137" s="201"/>
      <c r="D137" s="201"/>
    </row>
    <row r="138" spans="1:19" s="70" customFormat="1" ht="17.100000000000001" customHeight="1" x14ac:dyDescent="0.25">
      <c r="A138" s="201"/>
      <c r="B138" s="201"/>
      <c r="C138" s="201"/>
      <c r="D138" s="201"/>
    </row>
    <row r="139" spans="1:19" s="70" customFormat="1" ht="17.100000000000001" customHeight="1" x14ac:dyDescent="0.25">
      <c r="A139" s="201"/>
      <c r="B139" s="201"/>
      <c r="C139" s="201"/>
      <c r="D139" s="201"/>
    </row>
    <row r="140" spans="1:19" s="70" customFormat="1" ht="17.100000000000001" customHeight="1" x14ac:dyDescent="0.25">
      <c r="B140" s="201"/>
      <c r="C140" s="201"/>
      <c r="D140" s="201"/>
    </row>
    <row r="141" spans="1:19" s="70" customFormat="1" ht="17.100000000000001" customHeight="1" x14ac:dyDescent="0.25">
      <c r="A141" s="201"/>
      <c r="B141" s="201"/>
      <c r="C141" s="201"/>
      <c r="D141" s="201"/>
    </row>
    <row r="142" spans="1:19" s="70" customFormat="1" ht="17.100000000000001" customHeight="1" x14ac:dyDescent="0.25">
      <c r="A142" s="201"/>
      <c r="B142" s="201"/>
      <c r="C142" s="201"/>
      <c r="D142" s="201"/>
    </row>
    <row r="143" spans="1:19" s="70" customFormat="1" ht="17.100000000000001" customHeight="1" x14ac:dyDescent="0.25">
      <c r="A143" s="201"/>
      <c r="B143" s="201"/>
      <c r="C143" s="201"/>
      <c r="D143" s="201"/>
    </row>
    <row r="144" spans="1:19" s="70" customFormat="1" ht="17.100000000000001" customHeight="1" x14ac:dyDescent="0.25">
      <c r="A144" s="201"/>
      <c r="B144" s="201"/>
      <c r="C144" s="201"/>
      <c r="D144" s="201"/>
    </row>
    <row r="145" spans="1:4" s="70" customFormat="1" ht="17.100000000000001" customHeight="1" x14ac:dyDescent="0.25">
      <c r="A145" s="201"/>
      <c r="B145" s="201"/>
      <c r="C145" s="201"/>
      <c r="D145" s="201"/>
    </row>
    <row r="146" spans="1:4" s="70" customFormat="1" ht="17.100000000000001" customHeight="1" x14ac:dyDescent="0.25">
      <c r="A146" s="201"/>
      <c r="B146" s="201"/>
      <c r="C146" s="201"/>
      <c r="D146" s="201"/>
    </row>
    <row r="147" spans="1:4" s="70" customFormat="1" ht="17.100000000000001" customHeight="1" x14ac:dyDescent="0.25">
      <c r="A147" s="201"/>
      <c r="B147" s="201"/>
      <c r="C147" s="201"/>
      <c r="D147" s="201"/>
    </row>
    <row r="148" spans="1:4" s="70" customFormat="1" ht="17.100000000000001" customHeight="1" x14ac:dyDescent="0.25">
      <c r="A148" s="201"/>
      <c r="B148" s="201"/>
      <c r="C148" s="201"/>
      <c r="D148" s="201"/>
    </row>
    <row r="149" spans="1:4" s="70" customFormat="1" ht="17.100000000000001" customHeight="1" x14ac:dyDescent="0.25">
      <c r="A149" s="201"/>
      <c r="B149" s="201"/>
      <c r="C149" s="201"/>
      <c r="D149" s="201"/>
    </row>
    <row r="150" spans="1:4" s="70" customFormat="1" ht="17.100000000000001" customHeight="1" x14ac:dyDescent="0.25">
      <c r="A150" s="201"/>
      <c r="B150" s="201"/>
      <c r="C150" s="201"/>
      <c r="D150" s="201"/>
    </row>
    <row r="151" spans="1:4" s="70" customFormat="1" ht="17.100000000000001" customHeight="1" x14ac:dyDescent="0.25">
      <c r="A151" s="201"/>
      <c r="B151" s="201"/>
      <c r="C151" s="201"/>
      <c r="D151" s="201"/>
    </row>
    <row r="152" spans="1:4" s="70" customFormat="1" ht="17.100000000000001" customHeight="1" x14ac:dyDescent="0.25">
      <c r="A152" s="201"/>
      <c r="B152" s="201"/>
      <c r="C152" s="201"/>
      <c r="D152" s="201"/>
    </row>
    <row r="153" spans="1:4" s="70" customFormat="1" ht="17.100000000000001" customHeight="1" x14ac:dyDescent="0.25">
      <c r="A153" s="201"/>
      <c r="B153" s="201"/>
      <c r="C153" s="201"/>
      <c r="D153" s="201"/>
    </row>
    <row r="154" spans="1:4" s="70" customFormat="1" ht="17.100000000000001" customHeight="1" x14ac:dyDescent="0.25">
      <c r="A154" s="201"/>
      <c r="B154" s="201"/>
      <c r="C154" s="201"/>
      <c r="D154" s="201"/>
    </row>
    <row r="155" spans="1:4" s="70" customFormat="1" ht="17.100000000000001" customHeight="1" x14ac:dyDescent="0.25">
      <c r="A155" s="201"/>
      <c r="B155" s="201"/>
      <c r="C155" s="201"/>
      <c r="D155" s="201"/>
    </row>
    <row r="156" spans="1:4" s="70" customFormat="1" ht="17.100000000000001" customHeight="1" x14ac:dyDescent="0.25">
      <c r="A156" s="201"/>
      <c r="B156" s="201"/>
      <c r="C156" s="201"/>
      <c r="D156" s="201"/>
    </row>
    <row r="157" spans="1:4" s="70" customFormat="1" ht="17.100000000000001" customHeight="1" x14ac:dyDescent="0.25">
      <c r="A157" s="201"/>
      <c r="B157" s="201"/>
      <c r="C157" s="201"/>
      <c r="D157" s="201"/>
    </row>
    <row r="158" spans="1:4" s="70" customFormat="1" ht="17.100000000000001" customHeight="1" x14ac:dyDescent="0.25">
      <c r="A158" s="201"/>
      <c r="B158" s="201"/>
      <c r="C158" s="201"/>
      <c r="D158" s="201"/>
    </row>
    <row r="159" spans="1:4" s="70" customFormat="1" ht="17.100000000000001" customHeight="1" x14ac:dyDescent="0.25">
      <c r="A159" s="201"/>
      <c r="B159" s="201"/>
      <c r="C159" s="201"/>
      <c r="D159" s="201"/>
    </row>
    <row r="160" spans="1:4" s="70" customFormat="1" ht="17.100000000000001" customHeight="1" x14ac:dyDescent="0.25">
      <c r="A160" s="201"/>
      <c r="B160" s="201"/>
      <c r="C160" s="201"/>
      <c r="D160" s="201"/>
    </row>
    <row r="161" spans="1:4" s="70" customFormat="1" ht="17.100000000000001" customHeight="1" x14ac:dyDescent="0.25">
      <c r="A161" s="201"/>
      <c r="B161" s="201"/>
      <c r="C161" s="201"/>
      <c r="D161" s="201"/>
    </row>
    <row r="162" spans="1:4" s="70" customFormat="1" ht="17.100000000000001" customHeight="1" x14ac:dyDescent="0.25">
      <c r="A162" s="201"/>
      <c r="B162" s="201"/>
      <c r="C162" s="201"/>
      <c r="D162" s="201"/>
    </row>
    <row r="163" spans="1:4" s="70" customFormat="1" ht="17.100000000000001" customHeight="1" x14ac:dyDescent="0.25">
      <c r="A163" s="201"/>
      <c r="B163" s="201"/>
      <c r="C163" s="201"/>
      <c r="D163" s="201"/>
    </row>
    <row r="164" spans="1:4" s="70" customFormat="1" ht="17.100000000000001" customHeight="1" x14ac:dyDescent="0.25">
      <c r="A164" s="201"/>
      <c r="B164" s="201"/>
      <c r="C164" s="201"/>
      <c r="D164" s="201"/>
    </row>
    <row r="165" spans="1:4" s="70" customFormat="1" ht="17.100000000000001" customHeight="1" x14ac:dyDescent="0.25">
      <c r="A165" s="201"/>
      <c r="B165" s="201"/>
      <c r="C165" s="201"/>
      <c r="D165" s="201"/>
    </row>
    <row r="166" spans="1:4" s="70" customFormat="1" ht="17.100000000000001" customHeight="1" x14ac:dyDescent="0.25">
      <c r="A166" s="201"/>
      <c r="B166" s="201"/>
      <c r="C166" s="201"/>
      <c r="D166" s="201"/>
    </row>
    <row r="167" spans="1:4" s="70" customFormat="1" ht="17.100000000000001" customHeight="1" x14ac:dyDescent="0.25">
      <c r="A167" s="201"/>
      <c r="B167" s="201"/>
      <c r="C167" s="201"/>
      <c r="D167" s="201"/>
    </row>
    <row r="168" spans="1:4" s="70" customFormat="1" ht="17.100000000000001" customHeight="1" x14ac:dyDescent="0.25">
      <c r="A168" s="201"/>
      <c r="B168" s="201"/>
      <c r="C168" s="201"/>
      <c r="D168" s="201"/>
    </row>
    <row r="169" spans="1:4" s="70" customFormat="1" ht="17.100000000000001" customHeight="1" x14ac:dyDescent="0.25">
      <c r="A169" s="201"/>
      <c r="B169" s="201"/>
      <c r="C169" s="201"/>
      <c r="D169" s="201"/>
    </row>
    <row r="170" spans="1:4" s="70" customFormat="1" ht="17.100000000000001" customHeight="1" x14ac:dyDescent="0.25">
      <c r="A170" s="201"/>
      <c r="B170" s="201"/>
      <c r="C170" s="201"/>
      <c r="D170" s="201"/>
    </row>
    <row r="171" spans="1:4" s="70" customFormat="1" ht="17.100000000000001" customHeight="1" x14ac:dyDescent="0.25">
      <c r="A171" s="201"/>
      <c r="B171" s="201"/>
      <c r="C171" s="201"/>
      <c r="D171" s="201"/>
    </row>
    <row r="172" spans="1:4" s="70" customFormat="1" ht="17.100000000000001" customHeight="1" x14ac:dyDescent="0.25">
      <c r="A172" s="201"/>
      <c r="B172" s="201"/>
      <c r="C172" s="201"/>
      <c r="D172" s="201"/>
    </row>
    <row r="173" spans="1:4" s="70" customFormat="1" ht="17.100000000000001" customHeight="1" x14ac:dyDescent="0.25">
      <c r="A173" s="201"/>
      <c r="B173" s="201"/>
      <c r="C173" s="201"/>
      <c r="D173" s="201"/>
    </row>
    <row r="174" spans="1:4" s="70" customFormat="1" ht="17.100000000000001" customHeight="1" x14ac:dyDescent="0.25">
      <c r="A174" s="201"/>
      <c r="B174" s="201"/>
      <c r="C174" s="201"/>
      <c r="D174" s="201"/>
    </row>
    <row r="175" spans="1:4" s="70" customFormat="1" ht="17.100000000000001" customHeight="1" x14ac:dyDescent="0.25">
      <c r="A175" s="201"/>
      <c r="B175" s="201"/>
      <c r="C175" s="201"/>
      <c r="D175" s="201"/>
    </row>
    <row r="176" spans="1:4" s="70" customFormat="1" ht="17.100000000000001" customHeight="1" x14ac:dyDescent="0.25">
      <c r="A176" s="201"/>
      <c r="B176" s="201"/>
      <c r="C176" s="201"/>
      <c r="D176" s="201"/>
    </row>
    <row r="177" spans="1:4" s="70" customFormat="1" ht="17.100000000000001" customHeight="1" x14ac:dyDescent="0.25">
      <c r="A177" s="201"/>
      <c r="B177" s="201"/>
      <c r="C177" s="201"/>
      <c r="D177" s="201"/>
    </row>
    <row r="178" spans="1:4" s="70" customFormat="1" ht="17.100000000000001" customHeight="1" x14ac:dyDescent="0.25">
      <c r="A178" s="201"/>
      <c r="B178" s="201"/>
      <c r="C178" s="201"/>
      <c r="D178" s="201"/>
    </row>
    <row r="179" spans="1:4" s="70" customFormat="1" ht="17.100000000000001" customHeight="1" x14ac:dyDescent="0.25">
      <c r="A179" s="201"/>
      <c r="B179" s="201"/>
      <c r="C179" s="201"/>
      <c r="D179" s="201"/>
    </row>
    <row r="180" spans="1:4" s="63" customFormat="1" ht="17.100000000000001" customHeight="1" x14ac:dyDescent="0.25">
      <c r="A180" s="64"/>
      <c r="B180" s="64"/>
      <c r="C180" s="64"/>
      <c r="D180" s="64"/>
    </row>
    <row r="181" spans="1:4" s="63" customFormat="1" ht="17.100000000000001" customHeight="1" x14ac:dyDescent="0.25">
      <c r="A181" s="64"/>
      <c r="B181" s="64"/>
      <c r="C181" s="64"/>
      <c r="D181" s="64"/>
    </row>
    <row r="182" spans="1:4" s="63" customFormat="1" ht="17.100000000000001" customHeight="1" x14ac:dyDescent="0.25">
      <c r="A182" s="64"/>
      <c r="B182" s="64"/>
      <c r="C182" s="64"/>
      <c r="D182" s="64"/>
    </row>
    <row r="183" spans="1:4" s="63" customFormat="1" ht="17.100000000000001" customHeight="1" x14ac:dyDescent="0.25">
      <c r="A183" s="64"/>
      <c r="B183" s="64"/>
      <c r="C183" s="64"/>
      <c r="D183" s="64"/>
    </row>
    <row r="184" spans="1:4" s="63" customFormat="1" ht="17.100000000000001" customHeight="1" x14ac:dyDescent="0.25">
      <c r="A184" s="64"/>
      <c r="B184" s="64"/>
      <c r="C184" s="64"/>
      <c r="D184" s="64"/>
    </row>
    <row r="185" spans="1:4" s="63" customFormat="1" ht="17.100000000000001" customHeight="1" x14ac:dyDescent="0.25">
      <c r="A185" s="64"/>
      <c r="B185" s="64"/>
      <c r="C185" s="64"/>
      <c r="D185" s="64"/>
    </row>
    <row r="186" spans="1:4" s="63" customFormat="1" ht="17.100000000000001" customHeight="1" x14ac:dyDescent="0.25">
      <c r="A186" s="64"/>
      <c r="B186" s="64"/>
      <c r="C186" s="64"/>
      <c r="D186" s="64"/>
    </row>
    <row r="187" spans="1:4" s="63" customFormat="1" ht="17.100000000000001" customHeight="1" x14ac:dyDescent="0.25">
      <c r="A187" s="64"/>
      <c r="B187" s="64"/>
      <c r="C187" s="64"/>
      <c r="D187" s="64"/>
    </row>
    <row r="188" spans="1:4" s="63" customFormat="1" ht="17.100000000000001" customHeight="1" x14ac:dyDescent="0.25">
      <c r="A188" s="64"/>
      <c r="B188" s="64"/>
      <c r="C188" s="64"/>
      <c r="D188" s="64"/>
    </row>
    <row r="189" spans="1:4" s="63" customFormat="1" ht="17.100000000000001" customHeight="1" x14ac:dyDescent="0.25">
      <c r="A189" s="64"/>
      <c r="B189" s="64"/>
      <c r="C189" s="64"/>
      <c r="D189" s="64"/>
    </row>
    <row r="190" spans="1:4" s="63" customFormat="1" ht="17.100000000000001" customHeight="1" x14ac:dyDescent="0.25">
      <c r="A190" s="64"/>
      <c r="B190" s="64"/>
      <c r="C190" s="64"/>
      <c r="D190" s="64"/>
    </row>
    <row r="191" spans="1:4" s="63" customFormat="1" ht="17.100000000000001" customHeight="1" x14ac:dyDescent="0.25">
      <c r="A191" s="64"/>
      <c r="B191" s="64"/>
      <c r="C191" s="64"/>
      <c r="D191" s="64"/>
    </row>
    <row r="192" spans="1:4" s="63" customFormat="1" ht="17.100000000000001" customHeight="1" x14ac:dyDescent="0.25">
      <c r="A192" s="64"/>
      <c r="B192" s="64"/>
      <c r="C192" s="64"/>
      <c r="D192" s="64"/>
    </row>
    <row r="193" spans="1:4" s="63" customFormat="1" ht="17.100000000000001" customHeight="1" x14ac:dyDescent="0.25">
      <c r="A193" s="64"/>
      <c r="B193" s="64"/>
      <c r="C193" s="64"/>
      <c r="D193" s="64"/>
    </row>
    <row r="194" spans="1:4" s="63" customFormat="1" ht="17.100000000000001" customHeight="1" x14ac:dyDescent="0.25">
      <c r="A194" s="64"/>
      <c r="B194" s="64"/>
      <c r="C194" s="64"/>
      <c r="D194" s="64"/>
    </row>
    <row r="195" spans="1:4" s="63" customFormat="1" ht="17.100000000000001" customHeight="1" x14ac:dyDescent="0.25">
      <c r="A195" s="64"/>
      <c r="B195" s="64"/>
      <c r="C195" s="64"/>
      <c r="D195" s="64"/>
    </row>
    <row r="196" spans="1:4" s="63" customFormat="1" ht="17.100000000000001" customHeight="1" x14ac:dyDescent="0.25">
      <c r="A196" s="64"/>
      <c r="B196" s="64"/>
      <c r="C196" s="64"/>
      <c r="D196" s="64"/>
    </row>
    <row r="197" spans="1:4" s="63" customFormat="1" ht="17.100000000000001" customHeight="1" x14ac:dyDescent="0.25">
      <c r="A197" s="64"/>
      <c r="B197" s="64"/>
      <c r="C197" s="64"/>
      <c r="D197" s="64"/>
    </row>
    <row r="198" spans="1:4" s="63" customFormat="1" ht="17.100000000000001" customHeight="1" x14ac:dyDescent="0.25">
      <c r="A198" s="64"/>
      <c r="B198" s="64"/>
      <c r="C198" s="64"/>
      <c r="D198" s="64"/>
    </row>
    <row r="199" spans="1:4" s="63" customFormat="1" ht="17.100000000000001" customHeight="1" x14ac:dyDescent="0.25">
      <c r="A199" s="64"/>
      <c r="B199" s="64"/>
      <c r="C199" s="64"/>
      <c r="D199" s="64"/>
    </row>
    <row r="200" spans="1:4" s="63" customFormat="1" ht="17.100000000000001" customHeight="1" x14ac:dyDescent="0.25">
      <c r="A200" s="64"/>
      <c r="B200" s="64"/>
      <c r="C200" s="64"/>
      <c r="D200" s="64"/>
    </row>
    <row r="201" spans="1:4" s="63" customFormat="1" ht="17.100000000000001" customHeight="1" x14ac:dyDescent="0.25">
      <c r="A201" s="64"/>
      <c r="B201" s="64"/>
      <c r="C201" s="64"/>
      <c r="D201" s="64"/>
    </row>
    <row r="202" spans="1:4" s="63" customFormat="1" ht="17.100000000000001" customHeight="1" x14ac:dyDescent="0.25">
      <c r="A202" s="64"/>
      <c r="B202" s="64"/>
      <c r="C202" s="64"/>
      <c r="D202" s="64"/>
    </row>
    <row r="203" spans="1:4" s="63" customFormat="1" ht="17.100000000000001" customHeight="1" x14ac:dyDescent="0.25">
      <c r="A203" s="64"/>
      <c r="B203" s="64"/>
      <c r="C203" s="64"/>
      <c r="D203" s="64"/>
    </row>
    <row r="204" spans="1:4" s="63" customFormat="1" ht="17.100000000000001" customHeight="1" x14ac:dyDescent="0.25">
      <c r="A204" s="64"/>
      <c r="B204" s="64"/>
      <c r="C204" s="64"/>
      <c r="D204" s="64"/>
    </row>
    <row r="205" spans="1:4" s="63" customFormat="1" ht="17.100000000000001" customHeight="1" x14ac:dyDescent="0.25">
      <c r="A205" s="64"/>
      <c r="B205" s="64"/>
      <c r="C205" s="64"/>
      <c r="D205" s="64"/>
    </row>
    <row r="206" spans="1:4" s="63" customFormat="1" ht="17.100000000000001" customHeight="1" x14ac:dyDescent="0.25">
      <c r="A206" s="64"/>
      <c r="B206" s="64"/>
      <c r="C206" s="64"/>
      <c r="D206" s="64"/>
    </row>
    <row r="207" spans="1:4" s="63" customFormat="1" ht="17.100000000000001" customHeight="1" x14ac:dyDescent="0.25">
      <c r="A207" s="64"/>
      <c r="B207" s="64"/>
      <c r="C207" s="64"/>
      <c r="D207" s="64"/>
    </row>
    <row r="208" spans="1:4" s="63" customFormat="1" ht="17.100000000000001" customHeight="1" x14ac:dyDescent="0.25">
      <c r="A208" s="64"/>
      <c r="B208" s="64"/>
      <c r="C208" s="64"/>
      <c r="D208" s="64"/>
    </row>
    <row r="209" spans="1:4" s="63" customFormat="1" ht="17.100000000000001" customHeight="1" x14ac:dyDescent="0.25">
      <c r="A209" s="64"/>
      <c r="B209" s="64"/>
      <c r="C209" s="64"/>
      <c r="D209" s="64"/>
    </row>
    <row r="210" spans="1:4" s="63" customFormat="1" ht="17.100000000000001" customHeight="1" x14ac:dyDescent="0.25">
      <c r="A210" s="64"/>
      <c r="B210" s="64"/>
      <c r="C210" s="64"/>
      <c r="D210" s="64"/>
    </row>
    <row r="211" spans="1:4" s="63" customFormat="1" ht="17.100000000000001" customHeight="1" x14ac:dyDescent="0.25">
      <c r="A211" s="64"/>
      <c r="B211" s="64"/>
      <c r="C211" s="64"/>
      <c r="D211" s="64"/>
    </row>
    <row r="212" spans="1:4" s="63" customFormat="1" ht="17.100000000000001" customHeight="1" x14ac:dyDescent="0.25">
      <c r="A212" s="64"/>
      <c r="B212" s="64"/>
      <c r="C212" s="64"/>
      <c r="D212" s="64"/>
    </row>
    <row r="213" spans="1:4" s="63" customFormat="1" ht="17.100000000000001" customHeight="1" x14ac:dyDescent="0.25">
      <c r="A213" s="64"/>
      <c r="B213" s="64"/>
      <c r="C213" s="64"/>
      <c r="D213" s="64"/>
    </row>
    <row r="214" spans="1:4" s="63" customFormat="1" ht="17.100000000000001" customHeight="1" x14ac:dyDescent="0.25">
      <c r="A214" s="64"/>
      <c r="B214" s="64"/>
      <c r="C214" s="64"/>
      <c r="D214" s="64"/>
    </row>
    <row r="215" spans="1:4" s="63" customFormat="1" ht="17.100000000000001" customHeight="1" x14ac:dyDescent="0.25">
      <c r="A215" s="64"/>
      <c r="B215" s="64"/>
      <c r="C215" s="64"/>
      <c r="D215" s="64"/>
    </row>
    <row r="216" spans="1:4" s="63" customFormat="1" ht="17.100000000000001" customHeight="1" x14ac:dyDescent="0.25">
      <c r="A216" s="64"/>
      <c r="B216" s="64"/>
      <c r="C216" s="64"/>
      <c r="D216" s="64"/>
    </row>
    <row r="217" spans="1:4" s="63" customFormat="1" ht="17.100000000000001" customHeight="1" x14ac:dyDescent="0.25">
      <c r="A217" s="64"/>
      <c r="B217" s="64"/>
      <c r="C217" s="64"/>
      <c r="D217" s="64"/>
    </row>
    <row r="218" spans="1:4" s="63" customFormat="1" ht="17.100000000000001" customHeight="1" x14ac:dyDescent="0.25">
      <c r="A218" s="64"/>
      <c r="B218" s="64"/>
      <c r="C218" s="64"/>
      <c r="D218" s="64"/>
    </row>
    <row r="219" spans="1:4" s="63" customFormat="1" ht="17.100000000000001" customHeight="1" x14ac:dyDescent="0.25">
      <c r="A219" s="64"/>
      <c r="B219" s="64"/>
      <c r="C219" s="64"/>
      <c r="D219" s="64"/>
    </row>
    <row r="220" spans="1:4" s="63" customFormat="1" ht="17.100000000000001" customHeight="1" x14ac:dyDescent="0.25">
      <c r="A220" s="64"/>
      <c r="B220" s="64"/>
      <c r="C220" s="64"/>
      <c r="D220" s="64"/>
    </row>
    <row r="221" spans="1:4" s="63" customFormat="1" ht="17.100000000000001" customHeight="1" x14ac:dyDescent="0.25">
      <c r="A221" s="64"/>
      <c r="B221" s="64"/>
      <c r="C221" s="64"/>
      <c r="D221" s="64"/>
    </row>
    <row r="222" spans="1:4" s="63" customFormat="1" ht="17.100000000000001" customHeight="1" x14ac:dyDescent="0.25">
      <c r="A222" s="64"/>
      <c r="B222" s="64"/>
      <c r="C222" s="64"/>
      <c r="D222" s="64"/>
    </row>
    <row r="223" spans="1:4" s="63" customFormat="1" ht="17.100000000000001" customHeight="1" x14ac:dyDescent="0.25">
      <c r="A223" s="64"/>
      <c r="B223" s="64"/>
      <c r="C223" s="64"/>
      <c r="D223" s="64"/>
    </row>
    <row r="224" spans="1:4" s="63" customFormat="1" ht="17.100000000000001" customHeight="1" x14ac:dyDescent="0.25">
      <c r="A224" s="64"/>
      <c r="B224" s="64"/>
      <c r="C224" s="64"/>
      <c r="D224" s="64"/>
    </row>
    <row r="225" spans="1:4" s="63" customFormat="1" ht="17.100000000000001" customHeight="1" x14ac:dyDescent="0.25">
      <c r="A225" s="64"/>
      <c r="B225" s="64"/>
      <c r="C225" s="64"/>
      <c r="D225" s="64"/>
    </row>
    <row r="226" spans="1:4" s="63" customFormat="1" ht="17.100000000000001" customHeight="1" x14ac:dyDescent="0.25">
      <c r="A226" s="64"/>
      <c r="B226" s="64"/>
      <c r="C226" s="64"/>
      <c r="D226" s="64"/>
    </row>
    <row r="227" spans="1:4" s="63" customFormat="1" ht="17.100000000000001" customHeight="1" x14ac:dyDescent="0.25">
      <c r="A227" s="64"/>
      <c r="B227" s="64"/>
      <c r="C227" s="64"/>
      <c r="D227" s="64"/>
    </row>
    <row r="228" spans="1:4" s="63" customFormat="1" ht="17.100000000000001" customHeight="1" x14ac:dyDescent="0.25">
      <c r="A228" s="64"/>
      <c r="B228" s="64"/>
      <c r="C228" s="64"/>
      <c r="D228" s="64"/>
    </row>
    <row r="229" spans="1:4" s="63" customFormat="1" ht="17.100000000000001" customHeight="1" x14ac:dyDescent="0.25">
      <c r="A229" s="64"/>
      <c r="B229" s="64"/>
      <c r="C229" s="64"/>
      <c r="D229" s="64"/>
    </row>
    <row r="230" spans="1:4" s="63" customFormat="1" ht="17.100000000000001" customHeight="1" x14ac:dyDescent="0.25">
      <c r="A230" s="64"/>
      <c r="B230" s="64"/>
      <c r="C230" s="64"/>
      <c r="D230" s="64"/>
    </row>
    <row r="231" spans="1:4" s="63" customFormat="1" ht="15" x14ac:dyDescent="0.25">
      <c r="A231" s="64"/>
      <c r="C231" s="64"/>
      <c r="D231" s="64"/>
    </row>
    <row r="232" spans="1:4" s="63" customFormat="1" ht="17.100000000000001" customHeight="1" x14ac:dyDescent="0.25">
      <c r="A232" s="64"/>
      <c r="B232" s="64"/>
      <c r="C232" s="64"/>
      <c r="D232" s="64"/>
    </row>
    <row r="233" spans="1:4" s="63" customFormat="1" ht="17.100000000000001" customHeight="1" x14ac:dyDescent="0.25">
      <c r="A233" s="64"/>
      <c r="B233" s="64"/>
      <c r="C233" s="64"/>
      <c r="D233" s="64"/>
    </row>
    <row r="234" spans="1:4" s="63" customFormat="1" ht="17.100000000000001" customHeight="1" x14ac:dyDescent="0.25">
      <c r="A234" s="64"/>
      <c r="B234" s="64"/>
      <c r="C234" s="64"/>
      <c r="D234" s="64"/>
    </row>
    <row r="235" spans="1:4" s="63" customFormat="1" ht="17.100000000000001" customHeight="1" x14ac:dyDescent="0.25">
      <c r="A235" s="64"/>
      <c r="B235" s="64"/>
      <c r="C235" s="64"/>
      <c r="D235" s="64"/>
    </row>
    <row r="236" spans="1:4" s="63" customFormat="1" ht="17.100000000000001" customHeight="1" x14ac:dyDescent="0.25">
      <c r="A236" s="64"/>
      <c r="B236" s="64"/>
      <c r="C236" s="64"/>
      <c r="D236" s="64"/>
    </row>
    <row r="237" spans="1:4" s="63" customFormat="1" ht="17.100000000000001" customHeight="1" x14ac:dyDescent="0.25">
      <c r="A237" s="64"/>
      <c r="B237" s="64"/>
      <c r="C237" s="64"/>
      <c r="D237" s="64"/>
    </row>
    <row r="238" spans="1:4" s="63" customFormat="1" ht="17.100000000000001" customHeight="1" x14ac:dyDescent="0.25">
      <c r="A238" s="64"/>
      <c r="B238" s="64"/>
      <c r="C238" s="64"/>
      <c r="D238" s="64"/>
    </row>
    <row r="239" spans="1:4" s="63" customFormat="1" ht="17.100000000000001" customHeight="1" x14ac:dyDescent="0.25">
      <c r="A239" s="64"/>
      <c r="B239" s="64"/>
      <c r="C239" s="64"/>
      <c r="D239" s="64"/>
    </row>
    <row r="240" spans="1:4" s="63" customFormat="1" ht="17.100000000000001" customHeight="1" x14ac:dyDescent="0.25">
      <c r="A240" s="64"/>
      <c r="B240" s="64"/>
      <c r="C240" s="64"/>
      <c r="D240" s="64"/>
    </row>
    <row r="241" spans="1:4" s="63" customFormat="1" ht="17.100000000000001" customHeight="1" x14ac:dyDescent="0.25">
      <c r="A241" s="64"/>
      <c r="B241" s="64"/>
      <c r="C241" s="64"/>
      <c r="D241" s="64"/>
    </row>
    <row r="242" spans="1:4" s="63" customFormat="1" ht="17.100000000000001" customHeight="1" x14ac:dyDescent="0.25">
      <c r="A242" s="64"/>
      <c r="B242" s="64"/>
      <c r="C242" s="64"/>
      <c r="D242" s="64"/>
    </row>
    <row r="243" spans="1:4" s="63" customFormat="1" ht="17.100000000000001" customHeight="1" x14ac:dyDescent="0.25">
      <c r="A243" s="64"/>
      <c r="B243" s="64"/>
      <c r="C243" s="64"/>
      <c r="D243" s="64"/>
    </row>
    <row r="244" spans="1:4" s="63" customFormat="1" ht="17.100000000000001" customHeight="1" x14ac:dyDescent="0.25">
      <c r="A244" s="64"/>
      <c r="B244" s="64"/>
      <c r="C244" s="64"/>
      <c r="D244" s="64"/>
    </row>
    <row r="245" spans="1:4" s="63" customFormat="1" ht="17.100000000000001" customHeight="1" x14ac:dyDescent="0.25">
      <c r="A245" s="64"/>
      <c r="B245" s="64"/>
      <c r="C245" s="64"/>
      <c r="D245" s="64"/>
    </row>
    <row r="246" spans="1:4" s="63" customFormat="1" ht="17.100000000000001" customHeight="1" x14ac:dyDescent="0.25">
      <c r="A246" s="64"/>
      <c r="B246" s="64"/>
      <c r="C246" s="64"/>
      <c r="D246" s="64"/>
    </row>
    <row r="247" spans="1:4" s="63" customFormat="1" ht="17.100000000000001" customHeight="1" x14ac:dyDescent="0.25">
      <c r="A247" s="64"/>
      <c r="B247" s="64"/>
      <c r="C247" s="64"/>
      <c r="D247" s="64"/>
    </row>
    <row r="248" spans="1:4" s="63" customFormat="1" ht="17.100000000000001" customHeight="1" x14ac:dyDescent="0.25">
      <c r="A248" s="64"/>
      <c r="B248" s="64"/>
      <c r="C248" s="64"/>
      <c r="D248" s="64"/>
    </row>
    <row r="249" spans="1:4" s="63" customFormat="1" ht="17.100000000000001" customHeight="1" x14ac:dyDescent="0.25">
      <c r="A249" s="64"/>
      <c r="B249" s="64"/>
      <c r="C249" s="64"/>
      <c r="D249" s="64"/>
    </row>
    <row r="250" spans="1:4" s="63" customFormat="1" ht="17.100000000000001" customHeight="1" x14ac:dyDescent="0.25">
      <c r="A250" s="64"/>
      <c r="B250" s="64"/>
      <c r="C250" s="64"/>
      <c r="D250" s="64"/>
    </row>
    <row r="251" spans="1:4" s="63" customFormat="1" ht="17.100000000000001" customHeight="1" x14ac:dyDescent="0.25">
      <c r="A251" s="64"/>
      <c r="B251" s="64"/>
      <c r="C251" s="64"/>
      <c r="D251" s="64"/>
    </row>
    <row r="252" spans="1:4" s="63" customFormat="1" ht="17.100000000000001" customHeight="1" x14ac:dyDescent="0.25">
      <c r="A252" s="64"/>
      <c r="B252" s="64"/>
      <c r="C252" s="64"/>
      <c r="D252" s="64"/>
    </row>
    <row r="253" spans="1:4" s="63" customFormat="1" ht="17.100000000000001" customHeight="1" x14ac:dyDescent="0.25">
      <c r="A253" s="64"/>
      <c r="B253" s="64"/>
      <c r="C253" s="64"/>
      <c r="D253" s="64"/>
    </row>
    <row r="254" spans="1:4" s="63" customFormat="1" ht="17.100000000000001" customHeight="1" x14ac:dyDescent="0.25">
      <c r="A254" s="64"/>
      <c r="B254" s="64"/>
      <c r="C254" s="64"/>
      <c r="D254" s="64"/>
    </row>
    <row r="255" spans="1:4" s="63" customFormat="1" ht="17.100000000000001" customHeight="1" x14ac:dyDescent="0.25">
      <c r="A255" s="64"/>
      <c r="B255" s="64"/>
      <c r="C255" s="64"/>
      <c r="D255" s="64"/>
    </row>
    <row r="256" spans="1:4" s="63" customFormat="1" ht="17.100000000000001" customHeight="1" x14ac:dyDescent="0.25">
      <c r="A256" s="64"/>
      <c r="B256" s="64"/>
      <c r="C256" s="64"/>
      <c r="D256" s="64"/>
    </row>
    <row r="257" spans="1:4" s="63" customFormat="1" ht="17.100000000000001" customHeight="1" x14ac:dyDescent="0.25">
      <c r="A257" s="64"/>
      <c r="B257" s="64"/>
      <c r="C257" s="64"/>
      <c r="D257" s="64"/>
    </row>
    <row r="258" spans="1:4" s="63" customFormat="1" ht="17.100000000000001" customHeight="1" x14ac:dyDescent="0.25">
      <c r="A258" s="64"/>
      <c r="B258" s="64"/>
      <c r="C258" s="64"/>
      <c r="D258" s="64"/>
    </row>
    <row r="259" spans="1:4" s="63" customFormat="1" ht="17.100000000000001" customHeight="1" x14ac:dyDescent="0.25">
      <c r="A259" s="64"/>
      <c r="B259" s="64"/>
      <c r="C259" s="64"/>
      <c r="D259" s="64"/>
    </row>
    <row r="260" spans="1:4" s="63" customFormat="1" ht="17.100000000000001" customHeight="1" x14ac:dyDescent="0.25">
      <c r="A260" s="64"/>
      <c r="B260" s="64"/>
      <c r="C260" s="64"/>
      <c r="D260" s="64"/>
    </row>
    <row r="261" spans="1:4" s="63" customFormat="1" ht="17.100000000000001" customHeight="1" x14ac:dyDescent="0.25">
      <c r="A261" s="64"/>
      <c r="B261" s="64"/>
      <c r="C261" s="64"/>
      <c r="D261" s="64"/>
    </row>
    <row r="262" spans="1:4" s="63" customFormat="1" ht="17.100000000000001" customHeight="1" x14ac:dyDescent="0.25">
      <c r="A262" s="64"/>
      <c r="B262" s="64"/>
      <c r="C262" s="64"/>
      <c r="D262" s="64"/>
    </row>
    <row r="263" spans="1:4" s="63" customFormat="1" ht="17.100000000000001" customHeight="1" x14ac:dyDescent="0.25">
      <c r="A263" s="64"/>
      <c r="B263" s="64"/>
      <c r="C263" s="64"/>
      <c r="D263" s="64"/>
    </row>
    <row r="264" spans="1:4" s="63" customFormat="1" ht="17.100000000000001" customHeight="1" x14ac:dyDescent="0.25">
      <c r="A264" s="64"/>
      <c r="B264" s="64"/>
      <c r="C264" s="64"/>
      <c r="D264" s="64"/>
    </row>
    <row r="265" spans="1:4" s="63" customFormat="1" ht="17.100000000000001" customHeight="1" x14ac:dyDescent="0.25">
      <c r="A265" s="64"/>
      <c r="B265" s="64"/>
      <c r="C265" s="64"/>
      <c r="D265" s="64"/>
    </row>
    <row r="266" spans="1:4" s="63" customFormat="1" ht="17.100000000000001" customHeight="1" x14ac:dyDescent="0.25">
      <c r="A266" s="64"/>
      <c r="B266" s="64"/>
      <c r="C266" s="64"/>
      <c r="D266" s="64"/>
    </row>
    <row r="267" spans="1:4" s="63" customFormat="1" ht="17.100000000000001" customHeight="1" x14ac:dyDescent="0.25">
      <c r="A267" s="64"/>
      <c r="B267" s="64"/>
      <c r="C267" s="64"/>
      <c r="D267" s="64"/>
    </row>
    <row r="268" spans="1:4" s="63" customFormat="1" ht="17.100000000000001" customHeight="1" x14ac:dyDescent="0.25">
      <c r="A268" s="64"/>
      <c r="B268" s="64"/>
      <c r="C268" s="64"/>
      <c r="D268" s="64"/>
    </row>
    <row r="269" spans="1:4" s="63" customFormat="1" ht="17.100000000000001" customHeight="1" x14ac:dyDescent="0.25">
      <c r="A269" s="64"/>
      <c r="B269" s="64"/>
      <c r="C269" s="64"/>
      <c r="D269" s="64"/>
    </row>
    <row r="270" spans="1:4" s="63" customFormat="1" ht="17.100000000000001" customHeight="1" x14ac:dyDescent="0.25">
      <c r="A270" s="64"/>
      <c r="B270" s="64"/>
      <c r="C270" s="64"/>
      <c r="D270" s="64"/>
    </row>
    <row r="271" spans="1:4" s="63" customFormat="1" ht="17.100000000000001" customHeight="1" x14ac:dyDescent="0.25">
      <c r="A271" s="64"/>
      <c r="B271" s="64"/>
      <c r="C271" s="64"/>
      <c r="D271" s="64"/>
    </row>
    <row r="272" spans="1:4" s="63" customFormat="1" ht="17.100000000000001" customHeight="1" x14ac:dyDescent="0.25">
      <c r="A272" s="64"/>
      <c r="B272" s="64"/>
      <c r="C272" s="64"/>
      <c r="D272" s="64"/>
    </row>
    <row r="273" spans="1:4" s="63" customFormat="1" ht="17.100000000000001" customHeight="1" x14ac:dyDescent="0.25">
      <c r="A273" s="64"/>
      <c r="B273" s="64"/>
      <c r="C273" s="64"/>
      <c r="D273" s="64"/>
    </row>
    <row r="274" spans="1:4" s="63" customFormat="1" ht="17.100000000000001" customHeight="1" x14ac:dyDescent="0.25">
      <c r="A274" s="64"/>
      <c r="B274" s="64"/>
      <c r="C274" s="64"/>
      <c r="D274" s="64"/>
    </row>
    <row r="275" spans="1:4" s="63" customFormat="1" ht="17.100000000000001" customHeight="1" x14ac:dyDescent="0.25">
      <c r="A275" s="64"/>
      <c r="B275" s="64"/>
      <c r="C275" s="64"/>
      <c r="D275" s="64"/>
    </row>
    <row r="276" spans="1:4" s="63" customFormat="1" ht="17.100000000000001" customHeight="1" x14ac:dyDescent="0.25">
      <c r="A276" s="64"/>
      <c r="B276" s="64"/>
      <c r="C276" s="64"/>
      <c r="D276" s="64"/>
    </row>
    <row r="277" spans="1:4" s="63" customFormat="1" ht="17.100000000000001" customHeight="1" x14ac:dyDescent="0.25">
      <c r="A277" s="64"/>
      <c r="B277" s="64"/>
      <c r="C277" s="64"/>
      <c r="D277" s="64"/>
    </row>
    <row r="278" spans="1:4" s="63" customFormat="1" ht="17.100000000000001" customHeight="1" x14ac:dyDescent="0.25">
      <c r="A278" s="64"/>
      <c r="B278" s="64"/>
      <c r="C278" s="64"/>
      <c r="D278" s="64"/>
    </row>
    <row r="279" spans="1:4" s="63" customFormat="1" ht="17.100000000000001" customHeight="1" x14ac:dyDescent="0.25">
      <c r="A279" s="64"/>
      <c r="B279" s="64"/>
      <c r="C279" s="64"/>
      <c r="D279" s="64"/>
    </row>
    <row r="280" spans="1:4" s="63" customFormat="1" ht="17.100000000000001" customHeight="1" x14ac:dyDescent="0.25">
      <c r="A280" s="64"/>
      <c r="B280" s="64"/>
      <c r="C280" s="64"/>
      <c r="D280" s="64"/>
    </row>
    <row r="281" spans="1:4" s="63" customFormat="1" ht="17.100000000000001" customHeight="1" x14ac:dyDescent="0.25">
      <c r="A281" s="64"/>
      <c r="B281" s="64"/>
      <c r="C281" s="64"/>
      <c r="D281" s="64"/>
    </row>
    <row r="282" spans="1:4" s="63" customFormat="1" ht="17.100000000000001" customHeight="1" x14ac:dyDescent="0.25">
      <c r="A282" s="64"/>
      <c r="B282" s="64"/>
      <c r="C282" s="64"/>
      <c r="D282" s="64"/>
    </row>
    <row r="283" spans="1:4" s="63" customFormat="1" ht="17.100000000000001" customHeight="1" x14ac:dyDescent="0.25">
      <c r="A283" s="64"/>
      <c r="B283" s="64"/>
      <c r="C283" s="64"/>
      <c r="D283" s="64"/>
    </row>
    <row r="284" spans="1:4" s="63" customFormat="1" ht="17.100000000000001" customHeight="1" x14ac:dyDescent="0.25">
      <c r="A284" s="64"/>
      <c r="B284" s="64"/>
      <c r="C284" s="64"/>
      <c r="D284" s="64"/>
    </row>
    <row r="285" spans="1:4" s="63" customFormat="1" ht="17.100000000000001" customHeight="1" x14ac:dyDescent="0.25">
      <c r="A285" s="64"/>
      <c r="B285" s="64"/>
      <c r="C285" s="64"/>
      <c r="D285" s="64"/>
    </row>
    <row r="286" spans="1:4" s="63" customFormat="1" ht="17.100000000000001" customHeight="1" x14ac:dyDescent="0.25">
      <c r="A286" s="64"/>
      <c r="B286" s="64"/>
      <c r="C286" s="64"/>
      <c r="D286" s="64"/>
    </row>
    <row r="287" spans="1:4" s="63" customFormat="1" ht="17.100000000000001" customHeight="1" x14ac:dyDescent="0.25">
      <c r="A287" s="64"/>
      <c r="B287" s="64"/>
      <c r="C287" s="64"/>
      <c r="D287" s="64"/>
    </row>
    <row r="288" spans="1:4" s="63" customFormat="1" ht="17.100000000000001" customHeight="1" x14ac:dyDescent="0.25">
      <c r="A288" s="64"/>
      <c r="B288" s="64"/>
      <c r="C288" s="64"/>
      <c r="D288" s="64"/>
    </row>
    <row r="289" spans="1:4" s="63" customFormat="1" ht="17.100000000000001" customHeight="1" x14ac:dyDescent="0.25">
      <c r="A289" s="64"/>
      <c r="B289" s="64"/>
      <c r="C289" s="64"/>
      <c r="D289" s="64"/>
    </row>
    <row r="290" spans="1:4" s="63" customFormat="1" ht="17.100000000000001" customHeight="1" x14ac:dyDescent="0.25">
      <c r="A290" s="64"/>
      <c r="B290" s="64"/>
      <c r="C290" s="64"/>
      <c r="D290" s="64"/>
    </row>
    <row r="291" spans="1:4" s="63" customFormat="1" ht="17.100000000000001" customHeight="1" x14ac:dyDescent="0.25">
      <c r="A291" s="64"/>
      <c r="B291" s="64"/>
      <c r="C291" s="64"/>
      <c r="D291" s="64"/>
    </row>
    <row r="292" spans="1:4" s="63" customFormat="1" ht="17.100000000000001" customHeight="1" x14ac:dyDescent="0.25">
      <c r="A292" s="64"/>
      <c r="B292" s="64"/>
      <c r="C292" s="64"/>
      <c r="D292" s="64"/>
    </row>
    <row r="293" spans="1:4" s="63" customFormat="1" ht="17.100000000000001" customHeight="1" x14ac:dyDescent="0.25">
      <c r="A293" s="64"/>
      <c r="B293" s="64"/>
      <c r="C293" s="64"/>
      <c r="D293" s="64"/>
    </row>
    <row r="294" spans="1:4" s="66" customFormat="1" ht="17.100000000000001" customHeight="1" x14ac:dyDescent="0.25">
      <c r="A294" s="65"/>
      <c r="B294" s="65"/>
      <c r="C294" s="65"/>
      <c r="D294" s="65"/>
    </row>
    <row r="295" spans="1:4" s="66" customFormat="1" ht="17.100000000000001" customHeight="1" x14ac:dyDescent="0.25">
      <c r="A295" s="65"/>
      <c r="B295" s="65"/>
      <c r="C295" s="65"/>
      <c r="D295" s="65"/>
    </row>
    <row r="296" spans="1:4" s="66" customFormat="1" ht="17.100000000000001" customHeight="1" x14ac:dyDescent="0.25">
      <c r="A296" s="65"/>
      <c r="B296" s="65"/>
      <c r="C296" s="65"/>
      <c r="D296" s="65"/>
    </row>
    <row r="297" spans="1:4" s="66" customFormat="1" ht="17.100000000000001" customHeight="1" x14ac:dyDescent="0.25">
      <c r="A297" s="65"/>
      <c r="B297" s="65"/>
      <c r="C297" s="65"/>
      <c r="D297" s="65"/>
    </row>
    <row r="298" spans="1:4" s="66" customFormat="1" ht="17.100000000000001" customHeight="1" x14ac:dyDescent="0.25">
      <c r="A298" s="65"/>
      <c r="B298" s="65"/>
      <c r="C298" s="65"/>
      <c r="D298" s="65"/>
    </row>
    <row r="299" spans="1:4" s="66" customFormat="1" ht="17.100000000000001" customHeight="1" x14ac:dyDescent="0.25">
      <c r="A299" s="65"/>
      <c r="B299" s="65"/>
      <c r="C299" s="65"/>
      <c r="D299" s="65"/>
    </row>
    <row r="300" spans="1:4" s="66" customFormat="1" ht="17.100000000000001" customHeight="1" x14ac:dyDescent="0.25">
      <c r="A300" s="65"/>
      <c r="B300" s="65"/>
      <c r="C300" s="65"/>
      <c r="D300" s="65"/>
    </row>
    <row r="301" spans="1:4" s="66" customFormat="1" ht="17.100000000000001" customHeight="1" x14ac:dyDescent="0.25">
      <c r="A301" s="65"/>
      <c r="B301" s="65"/>
      <c r="C301" s="65"/>
      <c r="D301" s="65"/>
    </row>
    <row r="302" spans="1:4" s="66" customFormat="1" ht="17.100000000000001" customHeight="1" x14ac:dyDescent="0.25">
      <c r="A302" s="65"/>
      <c r="B302" s="65"/>
      <c r="C302" s="65"/>
      <c r="D302" s="65"/>
    </row>
    <row r="303" spans="1:4" s="66" customFormat="1" ht="17.100000000000001" customHeight="1" x14ac:dyDescent="0.25">
      <c r="A303" s="65"/>
      <c r="B303" s="65"/>
      <c r="C303" s="65"/>
      <c r="D303" s="65"/>
    </row>
    <row r="304" spans="1:4" s="66" customFormat="1" ht="17.100000000000001" customHeight="1" x14ac:dyDescent="0.25">
      <c r="A304" s="65"/>
      <c r="B304" s="65"/>
      <c r="C304" s="65"/>
      <c r="D304" s="65"/>
    </row>
    <row r="305" spans="1:4" s="66" customFormat="1" ht="17.100000000000001" customHeight="1" x14ac:dyDescent="0.25">
      <c r="A305" s="65"/>
      <c r="B305" s="65"/>
      <c r="C305" s="65"/>
      <c r="D305" s="65"/>
    </row>
    <row r="306" spans="1:4" s="66" customFormat="1" ht="17.100000000000001" customHeight="1" x14ac:dyDescent="0.25">
      <c r="A306" s="65"/>
      <c r="B306" s="65"/>
      <c r="C306" s="65"/>
      <c r="D306" s="65"/>
    </row>
    <row r="307" spans="1:4" s="66" customFormat="1" ht="17.100000000000001" customHeight="1" x14ac:dyDescent="0.25">
      <c r="A307" s="65"/>
      <c r="B307" s="65"/>
      <c r="C307" s="65"/>
      <c r="D307" s="65"/>
    </row>
    <row r="308" spans="1:4" s="66" customFormat="1" ht="17.100000000000001" customHeight="1" x14ac:dyDescent="0.25">
      <c r="A308" s="65"/>
      <c r="B308" s="65"/>
      <c r="C308" s="65"/>
      <c r="D308" s="65"/>
    </row>
    <row r="309" spans="1:4" s="66" customFormat="1" ht="17.100000000000001" customHeight="1" x14ac:dyDescent="0.25">
      <c r="A309" s="65"/>
      <c r="B309" s="65"/>
      <c r="C309" s="65"/>
      <c r="D309" s="65"/>
    </row>
    <row r="310" spans="1:4" s="66" customFormat="1" ht="17.100000000000001" customHeight="1" x14ac:dyDescent="0.25">
      <c r="A310" s="65"/>
      <c r="B310" s="65"/>
      <c r="C310" s="65"/>
      <c r="D310" s="65"/>
    </row>
    <row r="311" spans="1:4" s="66" customFormat="1" ht="17.100000000000001" customHeight="1" x14ac:dyDescent="0.25">
      <c r="A311" s="65"/>
      <c r="B311" s="65"/>
      <c r="C311" s="65"/>
      <c r="D311" s="65"/>
    </row>
    <row r="312" spans="1:4" s="66" customFormat="1" ht="17.100000000000001" customHeight="1" x14ac:dyDescent="0.25">
      <c r="A312" s="65"/>
      <c r="B312" s="65"/>
      <c r="C312" s="65"/>
      <c r="D312" s="65"/>
    </row>
    <row r="313" spans="1:4" s="66" customFormat="1" ht="17.100000000000001" customHeight="1" x14ac:dyDescent="0.25">
      <c r="A313" s="65"/>
      <c r="B313" s="65"/>
      <c r="C313" s="65"/>
      <c r="D313" s="65"/>
    </row>
    <row r="314" spans="1:4" s="66" customFormat="1" ht="17.100000000000001" customHeight="1" x14ac:dyDescent="0.25">
      <c r="A314" s="65"/>
      <c r="B314" s="65"/>
      <c r="C314" s="65"/>
      <c r="D314" s="65"/>
    </row>
    <row r="315" spans="1:4" s="66" customFormat="1" ht="17.100000000000001" customHeight="1" x14ac:dyDescent="0.25">
      <c r="A315" s="65"/>
      <c r="B315" s="65"/>
      <c r="C315" s="65"/>
      <c r="D315" s="65"/>
    </row>
    <row r="316" spans="1:4" s="66" customFormat="1" ht="17.100000000000001" customHeight="1" x14ac:dyDescent="0.25">
      <c r="A316" s="65"/>
      <c r="B316" s="65"/>
      <c r="C316" s="65"/>
      <c r="D316" s="65"/>
    </row>
    <row r="317" spans="1:4" s="66" customFormat="1" ht="17.100000000000001" customHeight="1" x14ac:dyDescent="0.25">
      <c r="A317" s="65"/>
      <c r="B317" s="65"/>
      <c r="C317" s="65"/>
      <c r="D317" s="65"/>
    </row>
    <row r="318" spans="1:4" s="66" customFormat="1" ht="17.100000000000001" customHeight="1" x14ac:dyDescent="0.25">
      <c r="A318" s="65"/>
      <c r="B318" s="65"/>
      <c r="C318" s="65"/>
      <c r="D318" s="65"/>
    </row>
    <row r="319" spans="1:4" s="66" customFormat="1" ht="17.100000000000001" customHeight="1" x14ac:dyDescent="0.25">
      <c r="A319" s="65"/>
      <c r="B319" s="65"/>
      <c r="C319" s="65"/>
      <c r="D319" s="65"/>
    </row>
    <row r="320" spans="1:4" s="66" customFormat="1" ht="17.100000000000001" customHeight="1" x14ac:dyDescent="0.25">
      <c r="A320" s="65"/>
      <c r="B320" s="65"/>
      <c r="C320" s="65"/>
      <c r="D320" s="65"/>
    </row>
    <row r="321" spans="1:4" s="66" customFormat="1" ht="17.100000000000001" customHeight="1" x14ac:dyDescent="0.25">
      <c r="A321" s="65"/>
      <c r="B321" s="65"/>
      <c r="C321" s="65"/>
      <c r="D321" s="65"/>
    </row>
    <row r="322" spans="1:4" s="66" customFormat="1" ht="17.100000000000001" customHeight="1" x14ac:dyDescent="0.25">
      <c r="A322" s="65"/>
      <c r="B322" s="65"/>
      <c r="C322" s="65"/>
      <c r="D322" s="65"/>
    </row>
    <row r="323" spans="1:4" s="66" customFormat="1" ht="17.100000000000001" customHeight="1" x14ac:dyDescent="0.25">
      <c r="A323" s="65"/>
      <c r="B323" s="65"/>
      <c r="C323" s="65"/>
      <c r="D323" s="65"/>
    </row>
    <row r="324" spans="1:4" s="66" customFormat="1" ht="17.100000000000001" customHeight="1" x14ac:dyDescent="0.25">
      <c r="A324" s="65"/>
      <c r="B324" s="65"/>
      <c r="C324" s="65"/>
      <c r="D324" s="65"/>
    </row>
    <row r="325" spans="1:4" s="66" customFormat="1" ht="17.100000000000001" customHeight="1" x14ac:dyDescent="0.25">
      <c r="A325" s="65"/>
      <c r="B325" s="65"/>
      <c r="C325" s="65"/>
      <c r="D325" s="65"/>
    </row>
    <row r="326" spans="1:4" s="66" customFormat="1" ht="17.100000000000001" customHeight="1" x14ac:dyDescent="0.25">
      <c r="A326" s="65"/>
      <c r="B326" s="65"/>
      <c r="C326" s="65"/>
      <c r="D326" s="65"/>
    </row>
    <row r="327" spans="1:4" s="66" customFormat="1" ht="17.100000000000001" customHeight="1" x14ac:dyDescent="0.25">
      <c r="A327" s="65"/>
      <c r="B327" s="65"/>
      <c r="C327" s="65"/>
      <c r="D327" s="65"/>
    </row>
    <row r="328" spans="1:4" s="66" customFormat="1" ht="17.100000000000001" customHeight="1" x14ac:dyDescent="0.25">
      <c r="A328" s="65"/>
      <c r="B328" s="65"/>
      <c r="C328" s="65"/>
      <c r="D328" s="65"/>
    </row>
    <row r="329" spans="1:4" s="66" customFormat="1" ht="17.100000000000001" customHeight="1" x14ac:dyDescent="0.25">
      <c r="A329" s="65"/>
      <c r="B329" s="65"/>
      <c r="C329" s="65"/>
      <c r="D329" s="65"/>
    </row>
    <row r="330" spans="1:4" s="66" customFormat="1" ht="17.100000000000001" customHeight="1" x14ac:dyDescent="0.25">
      <c r="A330" s="65"/>
      <c r="B330" s="65"/>
      <c r="C330" s="65"/>
      <c r="D330" s="65"/>
    </row>
    <row r="331" spans="1:4" s="66" customFormat="1" ht="17.100000000000001" customHeight="1" x14ac:dyDescent="0.25">
      <c r="A331" s="65"/>
      <c r="B331" s="65"/>
      <c r="C331" s="65"/>
      <c r="D331" s="65"/>
    </row>
    <row r="332" spans="1:4" s="66" customFormat="1" ht="17.100000000000001" customHeight="1" x14ac:dyDescent="0.25">
      <c r="A332" s="65"/>
      <c r="B332" s="65"/>
      <c r="C332" s="65"/>
      <c r="D332" s="65"/>
    </row>
    <row r="333" spans="1:4" s="66" customFormat="1" ht="17.100000000000001" customHeight="1" x14ac:dyDescent="0.25">
      <c r="A333" s="65"/>
      <c r="B333" s="65"/>
      <c r="C333" s="65"/>
      <c r="D333" s="65"/>
    </row>
    <row r="334" spans="1:4" s="66" customFormat="1" ht="17.100000000000001" customHeight="1" x14ac:dyDescent="0.25">
      <c r="A334" s="65"/>
      <c r="B334" s="65"/>
      <c r="C334" s="65"/>
      <c r="D334" s="65"/>
    </row>
    <row r="335" spans="1:4" s="66" customFormat="1" ht="17.100000000000001" customHeight="1" x14ac:dyDescent="0.25">
      <c r="A335" s="65"/>
      <c r="B335" s="65"/>
      <c r="C335" s="65"/>
      <c r="D335" s="65"/>
    </row>
    <row r="336" spans="1:4" s="66" customFormat="1" ht="17.100000000000001" customHeight="1" x14ac:dyDescent="0.25">
      <c r="A336" s="65"/>
      <c r="B336" s="65"/>
      <c r="C336" s="65"/>
      <c r="D336" s="65"/>
    </row>
    <row r="337" spans="1:4" s="66" customFormat="1" ht="17.100000000000001" customHeight="1" x14ac:dyDescent="0.25">
      <c r="A337" s="65"/>
      <c r="B337" s="65"/>
      <c r="C337" s="65"/>
      <c r="D337" s="65"/>
    </row>
    <row r="338" spans="1:4" s="66" customFormat="1" ht="17.100000000000001" customHeight="1" x14ac:dyDescent="0.25">
      <c r="A338" s="65"/>
      <c r="B338" s="65"/>
      <c r="C338" s="65"/>
      <c r="D338" s="65"/>
    </row>
    <row r="339" spans="1:4" s="66" customFormat="1" ht="17.100000000000001" customHeight="1" x14ac:dyDescent="0.25">
      <c r="A339" s="65"/>
      <c r="B339" s="65"/>
      <c r="C339" s="65"/>
      <c r="D339" s="65"/>
    </row>
    <row r="340" spans="1:4" s="66" customFormat="1" ht="17.100000000000001" customHeight="1" x14ac:dyDescent="0.25">
      <c r="A340" s="65"/>
      <c r="B340" s="65"/>
      <c r="C340" s="65"/>
      <c r="D340" s="65"/>
    </row>
    <row r="341" spans="1:4" s="66" customFormat="1" ht="17.100000000000001" customHeight="1" x14ac:dyDescent="0.25">
      <c r="A341" s="65"/>
      <c r="B341" s="65"/>
      <c r="C341" s="65"/>
      <c r="D341" s="65"/>
    </row>
    <row r="342" spans="1:4" s="66" customFormat="1" ht="17.100000000000001" customHeight="1" x14ac:dyDescent="0.25">
      <c r="A342" s="65"/>
      <c r="B342" s="65"/>
      <c r="C342" s="65"/>
      <c r="D342" s="65"/>
    </row>
    <row r="343" spans="1:4" s="66" customFormat="1" ht="17.100000000000001" customHeight="1" x14ac:dyDescent="0.25">
      <c r="A343" s="65"/>
      <c r="B343" s="65"/>
      <c r="C343" s="65"/>
      <c r="D343" s="65"/>
    </row>
    <row r="344" spans="1:4" s="66" customFormat="1" ht="17.100000000000001" customHeight="1" x14ac:dyDescent="0.25">
      <c r="A344" s="65"/>
      <c r="B344" s="65"/>
      <c r="C344" s="65"/>
      <c r="D344" s="65"/>
    </row>
    <row r="345" spans="1:4" s="66" customFormat="1" ht="17.100000000000001" customHeight="1" x14ac:dyDescent="0.25">
      <c r="A345" s="65"/>
      <c r="B345" s="65"/>
      <c r="C345" s="65"/>
      <c r="D345" s="65"/>
    </row>
    <row r="346" spans="1:4" s="66" customFormat="1" ht="17.100000000000001" customHeight="1" x14ac:dyDescent="0.25">
      <c r="A346" s="65"/>
      <c r="B346" s="65"/>
      <c r="C346" s="65"/>
      <c r="D346" s="65"/>
    </row>
    <row r="347" spans="1:4" s="66" customFormat="1" ht="17.100000000000001" customHeight="1" x14ac:dyDescent="0.25">
      <c r="A347" s="65"/>
      <c r="B347" s="65"/>
      <c r="C347" s="65"/>
      <c r="D347" s="65"/>
    </row>
    <row r="348" spans="1:4" s="66" customFormat="1" ht="17.100000000000001" customHeight="1" x14ac:dyDescent="0.25">
      <c r="A348" s="65"/>
      <c r="B348" s="65"/>
      <c r="C348" s="65"/>
      <c r="D348" s="65"/>
    </row>
    <row r="349" spans="1:4" s="66" customFormat="1" ht="17.100000000000001" customHeight="1" x14ac:dyDescent="0.25">
      <c r="A349" s="65"/>
      <c r="B349" s="65"/>
      <c r="C349" s="65"/>
      <c r="D349" s="65"/>
    </row>
    <row r="350" spans="1:4" s="66" customFormat="1" ht="17.100000000000001" customHeight="1" x14ac:dyDescent="0.25">
      <c r="A350" s="65"/>
      <c r="B350" s="65"/>
      <c r="C350" s="65"/>
      <c r="D350" s="65"/>
    </row>
    <row r="351" spans="1:4" s="66" customFormat="1" ht="17.100000000000001" customHeight="1" x14ac:dyDescent="0.25">
      <c r="A351" s="65"/>
      <c r="B351" s="65"/>
      <c r="C351" s="65"/>
      <c r="D351" s="65"/>
    </row>
    <row r="352" spans="1:4" s="66" customFormat="1" ht="17.100000000000001" customHeight="1" x14ac:dyDescent="0.25">
      <c r="A352" s="65"/>
      <c r="B352" s="65"/>
      <c r="C352" s="65"/>
      <c r="D352" s="65"/>
    </row>
    <row r="353" spans="1:4" s="66" customFormat="1" ht="17.100000000000001" customHeight="1" x14ac:dyDescent="0.25">
      <c r="A353" s="65"/>
      <c r="B353" s="65"/>
      <c r="C353" s="65"/>
      <c r="D353" s="65"/>
    </row>
    <row r="354" spans="1:4" s="66" customFormat="1" ht="17.100000000000001" customHeight="1" x14ac:dyDescent="0.25">
      <c r="A354" s="65"/>
      <c r="B354" s="65"/>
      <c r="C354" s="65"/>
      <c r="D354" s="65"/>
    </row>
    <row r="355" spans="1:4" s="66" customFormat="1" ht="17.100000000000001" customHeight="1" x14ac:dyDescent="0.25">
      <c r="A355" s="65"/>
      <c r="B355" s="65"/>
      <c r="C355" s="65"/>
      <c r="D355" s="65"/>
    </row>
    <row r="356" spans="1:4" s="66" customFormat="1" ht="17.100000000000001" customHeight="1" x14ac:dyDescent="0.25">
      <c r="A356" s="65"/>
      <c r="B356" s="65"/>
      <c r="C356" s="65"/>
      <c r="D356" s="65"/>
    </row>
    <row r="357" spans="1:4" s="66" customFormat="1" ht="17.100000000000001" customHeight="1" x14ac:dyDescent="0.25">
      <c r="A357" s="65"/>
      <c r="B357" s="65"/>
      <c r="C357" s="65"/>
      <c r="D357" s="65"/>
    </row>
    <row r="358" spans="1:4" s="66" customFormat="1" ht="17.100000000000001" customHeight="1" x14ac:dyDescent="0.25">
      <c r="A358" s="65"/>
      <c r="B358" s="65"/>
      <c r="C358" s="65"/>
      <c r="D358" s="65"/>
    </row>
    <row r="359" spans="1:4" s="66" customFormat="1" ht="17.100000000000001" customHeight="1" x14ac:dyDescent="0.25">
      <c r="A359" s="65"/>
      <c r="B359" s="65"/>
      <c r="C359" s="65"/>
      <c r="D359" s="65"/>
    </row>
    <row r="360" spans="1:4" s="66" customFormat="1" ht="17.100000000000001" customHeight="1" x14ac:dyDescent="0.25">
      <c r="A360" s="65"/>
      <c r="B360" s="65"/>
      <c r="C360" s="65"/>
      <c r="D360" s="65"/>
    </row>
    <row r="361" spans="1:4" s="66" customFormat="1" ht="17.100000000000001" customHeight="1" x14ac:dyDescent="0.25">
      <c r="A361" s="65"/>
      <c r="B361" s="65"/>
      <c r="C361" s="65"/>
      <c r="D361" s="65"/>
    </row>
    <row r="362" spans="1:4" s="66" customFormat="1" ht="17.100000000000001" customHeight="1" x14ac:dyDescent="0.25">
      <c r="A362" s="65"/>
      <c r="B362" s="65"/>
      <c r="C362" s="65"/>
      <c r="D362" s="65"/>
    </row>
    <row r="363" spans="1:4" s="66" customFormat="1" ht="17.100000000000001" customHeight="1" x14ac:dyDescent="0.25">
      <c r="A363" s="65"/>
      <c r="B363" s="65"/>
      <c r="C363" s="65"/>
      <c r="D363" s="65"/>
    </row>
    <row r="364" spans="1:4" s="66" customFormat="1" ht="17.100000000000001" customHeight="1" x14ac:dyDescent="0.25">
      <c r="A364" s="65"/>
      <c r="B364" s="65"/>
      <c r="C364" s="65"/>
      <c r="D364" s="65"/>
    </row>
    <row r="365" spans="1:4" s="66" customFormat="1" ht="17.100000000000001" customHeight="1" x14ac:dyDescent="0.25">
      <c r="A365" s="65"/>
      <c r="B365" s="65"/>
      <c r="C365" s="65"/>
      <c r="D365" s="65"/>
    </row>
    <row r="366" spans="1:4" s="66" customFormat="1" ht="17.100000000000001" customHeight="1" x14ac:dyDescent="0.25">
      <c r="A366" s="65"/>
      <c r="B366" s="65"/>
      <c r="C366" s="65"/>
      <c r="D366" s="65"/>
    </row>
    <row r="367" spans="1:4" s="66" customFormat="1" ht="17.100000000000001" customHeight="1" x14ac:dyDescent="0.25">
      <c r="A367" s="65"/>
      <c r="B367" s="65"/>
      <c r="C367" s="65"/>
      <c r="D367" s="65"/>
    </row>
    <row r="368" spans="1:4" s="66" customFormat="1" ht="17.100000000000001" customHeight="1" x14ac:dyDescent="0.25">
      <c r="A368" s="65"/>
      <c r="B368" s="65"/>
      <c r="C368" s="65"/>
      <c r="D368" s="65"/>
    </row>
    <row r="369" spans="1:4" s="66" customFormat="1" ht="17.100000000000001" customHeight="1" x14ac:dyDescent="0.25">
      <c r="A369" s="65"/>
      <c r="B369" s="65"/>
      <c r="C369" s="65"/>
      <c r="D369" s="65"/>
    </row>
    <row r="370" spans="1:4" s="66" customFormat="1" ht="17.100000000000001" customHeight="1" x14ac:dyDescent="0.25">
      <c r="A370" s="65"/>
      <c r="B370" s="65"/>
      <c r="C370" s="65"/>
      <c r="D370" s="65"/>
    </row>
    <row r="371" spans="1:4" s="66" customFormat="1" ht="17.100000000000001" customHeight="1" x14ac:dyDescent="0.25">
      <c r="A371" s="65"/>
      <c r="B371" s="65"/>
      <c r="C371" s="65"/>
      <c r="D371" s="65"/>
    </row>
    <row r="372" spans="1:4" s="66" customFormat="1" ht="17.100000000000001" customHeight="1" x14ac:dyDescent="0.25">
      <c r="A372" s="65"/>
      <c r="B372" s="65"/>
      <c r="C372" s="65"/>
      <c r="D372" s="65"/>
    </row>
    <row r="373" spans="1:4" s="66" customFormat="1" ht="17.100000000000001" customHeight="1" x14ac:dyDescent="0.25">
      <c r="A373" s="65"/>
      <c r="B373" s="65"/>
      <c r="C373" s="65"/>
      <c r="D373" s="65"/>
    </row>
    <row r="374" spans="1:4" s="66" customFormat="1" ht="17.100000000000001" customHeight="1" x14ac:dyDescent="0.25">
      <c r="A374" s="65"/>
      <c r="B374" s="65"/>
      <c r="C374" s="65"/>
      <c r="D374" s="65"/>
    </row>
    <row r="375" spans="1:4" s="66" customFormat="1" ht="17.100000000000001" customHeight="1" x14ac:dyDescent="0.25">
      <c r="A375" s="65"/>
      <c r="B375" s="65"/>
      <c r="C375" s="65"/>
      <c r="D375" s="65"/>
    </row>
    <row r="376" spans="1:4" s="66" customFormat="1" ht="17.100000000000001" customHeight="1" x14ac:dyDescent="0.25">
      <c r="A376" s="65"/>
      <c r="B376" s="65"/>
      <c r="C376" s="65"/>
      <c r="D376" s="65"/>
    </row>
    <row r="377" spans="1:4" s="66" customFormat="1" ht="17.100000000000001" customHeight="1" x14ac:dyDescent="0.25">
      <c r="A377" s="65"/>
      <c r="B377" s="65"/>
      <c r="C377" s="65"/>
      <c r="D377" s="65"/>
    </row>
    <row r="378" spans="1:4" s="66" customFormat="1" ht="17.100000000000001" customHeight="1" x14ac:dyDescent="0.25">
      <c r="A378" s="65"/>
      <c r="B378" s="65"/>
      <c r="C378" s="65"/>
      <c r="D378" s="65"/>
    </row>
    <row r="379" spans="1:4" s="66" customFormat="1" ht="17.100000000000001" customHeight="1" x14ac:dyDescent="0.25">
      <c r="A379" s="65"/>
      <c r="B379" s="65"/>
      <c r="C379" s="65"/>
      <c r="D379" s="65"/>
    </row>
    <row r="380" spans="1:4" s="66" customFormat="1" ht="17.100000000000001" customHeight="1" x14ac:dyDescent="0.25">
      <c r="A380" s="65"/>
      <c r="B380" s="65"/>
      <c r="C380" s="65"/>
      <c r="D380" s="65"/>
    </row>
    <row r="381" spans="1:4" s="66" customFormat="1" ht="17.100000000000001" customHeight="1" x14ac:dyDescent="0.25">
      <c r="A381" s="65"/>
      <c r="B381" s="65"/>
      <c r="C381" s="65"/>
      <c r="D381" s="65"/>
    </row>
    <row r="382" spans="1:4" s="66" customFormat="1" ht="17.100000000000001" customHeight="1" x14ac:dyDescent="0.25">
      <c r="A382" s="65"/>
      <c r="B382" s="65"/>
      <c r="C382" s="65"/>
      <c r="D382" s="65"/>
    </row>
    <row r="383" spans="1:4" s="66" customFormat="1" ht="17.100000000000001" customHeight="1" x14ac:dyDescent="0.25">
      <c r="A383" s="65"/>
      <c r="B383" s="65"/>
      <c r="C383" s="65"/>
      <c r="D383" s="65"/>
    </row>
    <row r="384" spans="1:4" s="66" customFormat="1" ht="17.100000000000001" customHeight="1" x14ac:dyDescent="0.25">
      <c r="A384" s="65"/>
      <c r="B384" s="65"/>
      <c r="C384" s="65"/>
      <c r="D384" s="65"/>
    </row>
    <row r="385" spans="1:4" s="66" customFormat="1" ht="17.100000000000001" customHeight="1" x14ac:dyDescent="0.25">
      <c r="A385" s="65"/>
      <c r="B385" s="65"/>
      <c r="C385" s="65"/>
      <c r="D385" s="65"/>
    </row>
    <row r="386" spans="1:4" s="66" customFormat="1" ht="17.100000000000001" customHeight="1" x14ac:dyDescent="0.25">
      <c r="A386" s="65"/>
      <c r="B386" s="65"/>
      <c r="C386" s="65"/>
      <c r="D386" s="65"/>
    </row>
    <row r="387" spans="1:4" s="66" customFormat="1" ht="17.100000000000001" customHeight="1" x14ac:dyDescent="0.25">
      <c r="A387" s="65"/>
      <c r="B387" s="65"/>
      <c r="C387" s="65"/>
      <c r="D387" s="65"/>
    </row>
    <row r="388" spans="1:4" s="66" customFormat="1" ht="17.100000000000001" customHeight="1" x14ac:dyDescent="0.25">
      <c r="A388" s="65"/>
      <c r="B388" s="65"/>
      <c r="C388" s="65"/>
      <c r="D388" s="65"/>
    </row>
    <row r="389" spans="1:4" s="66" customFormat="1" ht="17.100000000000001" customHeight="1" x14ac:dyDescent="0.25">
      <c r="A389" s="65"/>
      <c r="B389" s="65"/>
      <c r="C389" s="65"/>
      <c r="D389" s="65"/>
    </row>
    <row r="390" spans="1:4" s="66" customFormat="1" ht="17.100000000000001" customHeight="1" x14ac:dyDescent="0.25">
      <c r="A390" s="65"/>
      <c r="B390" s="65"/>
      <c r="C390" s="65"/>
      <c r="D390" s="65"/>
    </row>
    <row r="391" spans="1:4" s="66" customFormat="1" ht="17.100000000000001" customHeight="1" x14ac:dyDescent="0.25">
      <c r="A391" s="65"/>
      <c r="B391" s="65"/>
      <c r="C391" s="65"/>
      <c r="D391" s="65"/>
    </row>
    <row r="392" spans="1:4" s="66" customFormat="1" ht="17.100000000000001" customHeight="1" x14ac:dyDescent="0.25">
      <c r="A392" s="65"/>
      <c r="B392" s="65"/>
      <c r="C392" s="65"/>
      <c r="D392" s="65"/>
    </row>
    <row r="393" spans="1:4" s="66" customFormat="1" ht="17.100000000000001" customHeight="1" x14ac:dyDescent="0.25">
      <c r="A393" s="65"/>
      <c r="B393" s="65"/>
      <c r="C393" s="65"/>
      <c r="D393" s="65"/>
    </row>
    <row r="394" spans="1:4" s="66" customFormat="1" ht="17.100000000000001" customHeight="1" x14ac:dyDescent="0.25">
      <c r="A394" s="65"/>
      <c r="B394" s="65"/>
      <c r="C394" s="65"/>
      <c r="D394" s="65"/>
    </row>
    <row r="395" spans="1:4" s="66" customFormat="1" ht="17.100000000000001" customHeight="1" x14ac:dyDescent="0.25">
      <c r="A395" s="65"/>
      <c r="B395" s="65"/>
      <c r="C395" s="65"/>
      <c r="D395" s="65"/>
    </row>
    <row r="396" spans="1:4" s="66" customFormat="1" ht="17.100000000000001" customHeight="1" x14ac:dyDescent="0.25">
      <c r="A396" s="65"/>
      <c r="B396" s="65"/>
      <c r="C396" s="65"/>
      <c r="D396" s="65"/>
    </row>
    <row r="397" spans="1:4" s="66" customFormat="1" ht="17.100000000000001" customHeight="1" x14ac:dyDescent="0.25">
      <c r="A397" s="65"/>
      <c r="B397" s="65"/>
      <c r="C397" s="65"/>
      <c r="D397" s="65"/>
    </row>
    <row r="398" spans="1:4" s="66" customFormat="1" ht="17.100000000000001" customHeight="1" x14ac:dyDescent="0.25">
      <c r="A398" s="65"/>
      <c r="B398" s="65"/>
      <c r="C398" s="65"/>
      <c r="D398" s="65"/>
    </row>
    <row r="399" spans="1:4" s="66" customFormat="1" ht="17.100000000000001" customHeight="1" x14ac:dyDescent="0.25">
      <c r="A399" s="65"/>
      <c r="B399" s="65"/>
      <c r="C399" s="65"/>
      <c r="D399" s="65"/>
    </row>
    <row r="400" spans="1:4" s="66" customFormat="1" ht="17.100000000000001" customHeight="1" x14ac:dyDescent="0.25">
      <c r="A400" s="65"/>
      <c r="B400" s="65"/>
      <c r="C400" s="65"/>
      <c r="D400" s="65"/>
    </row>
    <row r="401" spans="1:4" s="66" customFormat="1" ht="17.100000000000001" customHeight="1" x14ac:dyDescent="0.25">
      <c r="A401" s="65"/>
      <c r="B401" s="65"/>
      <c r="C401" s="65"/>
      <c r="D401" s="65"/>
    </row>
    <row r="402" spans="1:4" s="66" customFormat="1" ht="17.100000000000001" customHeight="1" x14ac:dyDescent="0.25">
      <c r="A402" s="65"/>
      <c r="B402" s="65"/>
      <c r="C402" s="65"/>
      <c r="D402" s="65"/>
    </row>
    <row r="403" spans="1:4" s="66" customFormat="1" ht="17.100000000000001" customHeight="1" x14ac:dyDescent="0.25">
      <c r="A403" s="65"/>
      <c r="B403" s="65"/>
      <c r="C403" s="65"/>
      <c r="D403" s="65"/>
    </row>
    <row r="404" spans="1:4" s="66" customFormat="1" ht="17.100000000000001" customHeight="1" x14ac:dyDescent="0.25">
      <c r="A404" s="65"/>
      <c r="B404" s="65"/>
      <c r="C404" s="65"/>
      <c r="D404" s="65"/>
    </row>
    <row r="405" spans="1:4" s="66" customFormat="1" ht="17.100000000000001" customHeight="1" x14ac:dyDescent="0.25">
      <c r="A405" s="65"/>
      <c r="B405" s="65"/>
      <c r="C405" s="65"/>
      <c r="D405" s="65"/>
    </row>
    <row r="406" spans="1:4" s="66" customFormat="1" ht="17.100000000000001" customHeight="1" x14ac:dyDescent="0.25">
      <c r="A406" s="65"/>
      <c r="B406" s="65"/>
      <c r="C406" s="65"/>
      <c r="D406" s="65"/>
    </row>
    <row r="407" spans="1:4" s="66" customFormat="1" ht="17.100000000000001" customHeight="1" x14ac:dyDescent="0.25">
      <c r="A407" s="65"/>
      <c r="B407" s="65"/>
      <c r="C407" s="65"/>
      <c r="D407" s="65"/>
    </row>
    <row r="408" spans="1:4" s="66" customFormat="1" ht="17.100000000000001" customHeight="1" x14ac:dyDescent="0.25">
      <c r="A408" s="65"/>
      <c r="B408" s="65"/>
      <c r="C408" s="65"/>
      <c r="D408" s="65"/>
    </row>
    <row r="409" spans="1:4" s="66" customFormat="1" ht="17.100000000000001" customHeight="1" x14ac:dyDescent="0.25">
      <c r="A409" s="65"/>
      <c r="B409" s="65"/>
      <c r="C409" s="65"/>
      <c r="D409" s="65"/>
    </row>
    <row r="410" spans="1:4" s="66" customFormat="1" ht="17.100000000000001" customHeight="1" x14ac:dyDescent="0.25">
      <c r="A410" s="65"/>
      <c r="B410" s="65"/>
      <c r="C410" s="65"/>
      <c r="D410" s="65"/>
    </row>
    <row r="411" spans="1:4" s="66" customFormat="1" ht="17.100000000000001" customHeight="1" x14ac:dyDescent="0.25">
      <c r="A411" s="65"/>
      <c r="B411" s="65"/>
      <c r="C411" s="65"/>
      <c r="D411" s="65"/>
    </row>
    <row r="412" spans="1:4" s="66" customFormat="1" ht="17.100000000000001" customHeight="1" x14ac:dyDescent="0.25">
      <c r="A412" s="65"/>
      <c r="B412" s="65"/>
      <c r="C412" s="65"/>
      <c r="D412" s="65"/>
    </row>
    <row r="413" spans="1:4" s="66" customFormat="1" ht="17.100000000000001" customHeight="1" x14ac:dyDescent="0.25">
      <c r="A413" s="65"/>
      <c r="B413" s="65"/>
      <c r="C413" s="65"/>
      <c r="D413" s="65"/>
    </row>
    <row r="414" spans="1:4" s="66" customFormat="1" ht="17.100000000000001" customHeight="1" x14ac:dyDescent="0.25">
      <c r="A414" s="65"/>
      <c r="B414" s="65"/>
      <c r="C414" s="65"/>
      <c r="D414" s="65"/>
    </row>
    <row r="415" spans="1:4" s="66" customFormat="1" ht="17.100000000000001" customHeight="1" x14ac:dyDescent="0.25">
      <c r="A415" s="65"/>
      <c r="B415" s="65"/>
      <c r="C415" s="65"/>
      <c r="D415" s="65"/>
    </row>
    <row r="416" spans="1:4" s="66" customFormat="1" ht="17.100000000000001" customHeight="1" x14ac:dyDescent="0.25">
      <c r="A416" s="65"/>
      <c r="B416" s="65"/>
      <c r="C416" s="65"/>
      <c r="D416" s="65"/>
    </row>
    <row r="417" spans="1:4" s="66" customFormat="1" ht="17.100000000000001" customHeight="1" x14ac:dyDescent="0.25">
      <c r="A417" s="65"/>
      <c r="B417" s="65"/>
      <c r="C417" s="65"/>
      <c r="D417" s="65"/>
    </row>
    <row r="418" spans="1:4" s="66" customFormat="1" ht="17.100000000000001" customHeight="1" x14ac:dyDescent="0.25">
      <c r="A418" s="65"/>
      <c r="B418" s="65"/>
      <c r="C418" s="65"/>
      <c r="D418" s="65"/>
    </row>
    <row r="419" spans="1:4" s="66" customFormat="1" ht="17.100000000000001" customHeight="1" x14ac:dyDescent="0.25">
      <c r="A419" s="65"/>
      <c r="B419" s="65"/>
      <c r="C419" s="65"/>
      <c r="D419" s="65"/>
    </row>
    <row r="420" spans="1:4" s="66" customFormat="1" ht="17.100000000000001" customHeight="1" x14ac:dyDescent="0.25">
      <c r="A420" s="65"/>
      <c r="B420" s="65"/>
      <c r="C420" s="65"/>
      <c r="D420" s="65"/>
    </row>
    <row r="421" spans="1:4" s="66" customFormat="1" ht="17.100000000000001" customHeight="1" x14ac:dyDescent="0.25">
      <c r="A421" s="65"/>
      <c r="B421" s="65"/>
      <c r="C421" s="65"/>
      <c r="D421" s="65"/>
    </row>
    <row r="422" spans="1:4" s="66" customFormat="1" ht="17.100000000000001" customHeight="1" x14ac:dyDescent="0.25">
      <c r="A422" s="65"/>
      <c r="B422" s="65"/>
      <c r="C422" s="65"/>
      <c r="D422" s="65"/>
    </row>
    <row r="423" spans="1:4" s="66" customFormat="1" ht="17.100000000000001" customHeight="1" x14ac:dyDescent="0.25">
      <c r="A423" s="65"/>
      <c r="B423" s="65"/>
      <c r="C423" s="65"/>
      <c r="D423" s="65"/>
    </row>
    <row r="424" spans="1:4" s="66" customFormat="1" ht="17.100000000000001" customHeight="1" x14ac:dyDescent="0.25">
      <c r="A424" s="65"/>
      <c r="B424" s="65"/>
      <c r="C424" s="65"/>
      <c r="D424" s="65"/>
    </row>
    <row r="425" spans="1:4" s="66" customFormat="1" ht="17.100000000000001" customHeight="1" x14ac:dyDescent="0.25">
      <c r="A425" s="65"/>
      <c r="B425" s="65"/>
      <c r="C425" s="65"/>
      <c r="D425" s="65"/>
    </row>
    <row r="426" spans="1:4" s="66" customFormat="1" ht="17.100000000000001" customHeight="1" x14ac:dyDescent="0.25">
      <c r="A426" s="65"/>
      <c r="B426" s="65"/>
      <c r="C426" s="65"/>
      <c r="D426" s="65"/>
    </row>
    <row r="427" spans="1:4" s="66" customFormat="1" ht="17.100000000000001" customHeight="1" x14ac:dyDescent="0.25">
      <c r="A427" s="65"/>
      <c r="B427" s="65"/>
      <c r="C427" s="65"/>
      <c r="D427" s="65"/>
    </row>
    <row r="428" spans="1:4" s="66" customFormat="1" ht="17.100000000000001" customHeight="1" x14ac:dyDescent="0.25">
      <c r="A428" s="65"/>
      <c r="B428" s="65"/>
      <c r="C428" s="65"/>
      <c r="D428" s="65"/>
    </row>
    <row r="429" spans="1:4" s="66" customFormat="1" ht="17.100000000000001" customHeight="1" x14ac:dyDescent="0.25">
      <c r="A429" s="65"/>
      <c r="B429" s="65"/>
      <c r="C429" s="65"/>
      <c r="D429" s="65"/>
    </row>
    <row r="430" spans="1:4" s="66" customFormat="1" ht="17.100000000000001" customHeight="1" x14ac:dyDescent="0.25">
      <c r="A430" s="65"/>
      <c r="B430" s="65"/>
      <c r="C430" s="65"/>
      <c r="D430" s="65"/>
    </row>
    <row r="431" spans="1:4" s="66" customFormat="1" ht="17.100000000000001" customHeight="1" x14ac:dyDescent="0.25">
      <c r="A431" s="65"/>
      <c r="B431" s="65"/>
      <c r="C431" s="65"/>
      <c r="D431" s="65"/>
    </row>
    <row r="432" spans="1:4" s="66" customFormat="1" ht="17.100000000000001" customHeight="1" x14ac:dyDescent="0.25">
      <c r="A432" s="65"/>
      <c r="B432" s="65"/>
      <c r="C432" s="65"/>
      <c r="D432" s="65"/>
    </row>
    <row r="433" spans="1:4" s="66" customFormat="1" ht="17.100000000000001" customHeight="1" x14ac:dyDescent="0.25">
      <c r="A433" s="65"/>
      <c r="B433" s="65"/>
      <c r="C433" s="65"/>
      <c r="D433" s="65"/>
    </row>
    <row r="434" spans="1:4" s="66" customFormat="1" ht="17.100000000000001" customHeight="1" x14ac:dyDescent="0.25">
      <c r="A434" s="65"/>
      <c r="B434" s="65"/>
      <c r="C434" s="65"/>
      <c r="D434" s="65"/>
    </row>
    <row r="435" spans="1:4" s="66" customFormat="1" ht="17.100000000000001" customHeight="1" x14ac:dyDescent="0.25">
      <c r="A435" s="65"/>
      <c r="B435" s="65"/>
      <c r="C435" s="65"/>
      <c r="D435" s="65"/>
    </row>
    <row r="436" spans="1:4" s="66" customFormat="1" ht="17.100000000000001" customHeight="1" x14ac:dyDescent="0.25">
      <c r="A436" s="65"/>
      <c r="B436" s="65"/>
      <c r="C436" s="65"/>
      <c r="D436" s="65"/>
    </row>
    <row r="437" spans="1:4" s="66" customFormat="1" ht="17.100000000000001" customHeight="1" x14ac:dyDescent="0.25">
      <c r="A437" s="65"/>
      <c r="B437" s="65"/>
      <c r="C437" s="65"/>
      <c r="D437" s="65"/>
    </row>
    <row r="438" spans="1:4" s="66" customFormat="1" ht="17.100000000000001" customHeight="1" x14ac:dyDescent="0.25">
      <c r="A438" s="65"/>
      <c r="B438" s="65"/>
      <c r="C438" s="65"/>
      <c r="D438" s="65"/>
    </row>
    <row r="439" spans="1:4" s="66" customFormat="1" ht="17.100000000000001" customHeight="1" x14ac:dyDescent="0.25">
      <c r="A439" s="65"/>
      <c r="B439" s="65"/>
      <c r="C439" s="65"/>
      <c r="D439" s="65"/>
    </row>
    <row r="440" spans="1:4" s="66" customFormat="1" ht="17.100000000000001" customHeight="1" x14ac:dyDescent="0.25">
      <c r="A440" s="65"/>
      <c r="B440" s="65"/>
      <c r="C440" s="65"/>
      <c r="D440" s="65"/>
    </row>
    <row r="441" spans="1:4" s="66" customFormat="1" ht="17.100000000000001" customHeight="1" x14ac:dyDescent="0.25">
      <c r="A441" s="65"/>
      <c r="B441" s="65"/>
      <c r="C441" s="65"/>
      <c r="D441" s="65"/>
    </row>
    <row r="442" spans="1:4" s="66" customFormat="1" ht="17.100000000000001" customHeight="1" x14ac:dyDescent="0.25">
      <c r="A442" s="65"/>
      <c r="B442" s="65"/>
      <c r="C442" s="65"/>
      <c r="D442" s="65"/>
    </row>
    <row r="443" spans="1:4" s="66" customFormat="1" ht="17.100000000000001" customHeight="1" x14ac:dyDescent="0.25">
      <c r="A443" s="65"/>
      <c r="B443" s="65"/>
      <c r="C443" s="65"/>
      <c r="D443" s="65"/>
    </row>
    <row r="444" spans="1:4" s="66" customFormat="1" ht="17.100000000000001" customHeight="1" x14ac:dyDescent="0.25">
      <c r="A444" s="65"/>
      <c r="B444" s="65"/>
      <c r="C444" s="65"/>
      <c r="D444" s="65"/>
    </row>
    <row r="445" spans="1:4" s="66" customFormat="1" ht="17.100000000000001" customHeight="1" x14ac:dyDescent="0.25">
      <c r="A445" s="65"/>
      <c r="B445" s="65"/>
      <c r="C445" s="65"/>
      <c r="D445" s="65"/>
    </row>
    <row r="446" spans="1:4" s="66" customFormat="1" ht="17.100000000000001" customHeight="1" x14ac:dyDescent="0.25">
      <c r="A446" s="65"/>
      <c r="B446" s="65"/>
      <c r="C446" s="65"/>
      <c r="D446" s="65"/>
    </row>
    <row r="447" spans="1:4" s="66" customFormat="1" ht="17.100000000000001" customHeight="1" x14ac:dyDescent="0.25">
      <c r="A447" s="65"/>
      <c r="B447" s="65"/>
      <c r="C447" s="65"/>
      <c r="D447" s="65"/>
    </row>
    <row r="448" spans="1:4" s="66" customFormat="1" ht="17.100000000000001" customHeight="1" x14ac:dyDescent="0.25">
      <c r="A448" s="65"/>
      <c r="B448" s="65"/>
      <c r="C448" s="65"/>
      <c r="D448" s="65"/>
    </row>
    <row r="449" spans="1:4" s="66" customFormat="1" ht="17.100000000000001" customHeight="1" x14ac:dyDescent="0.25">
      <c r="A449" s="65"/>
      <c r="B449" s="65"/>
      <c r="C449" s="65"/>
      <c r="D449" s="65"/>
    </row>
    <row r="450" spans="1:4" s="66" customFormat="1" ht="17.100000000000001" customHeight="1" x14ac:dyDescent="0.25">
      <c r="A450" s="65"/>
      <c r="B450" s="65"/>
      <c r="C450" s="65"/>
      <c r="D450" s="65"/>
    </row>
    <row r="451" spans="1:4" s="66" customFormat="1" ht="17.100000000000001" customHeight="1" x14ac:dyDescent="0.25">
      <c r="A451" s="65"/>
      <c r="B451" s="65"/>
      <c r="C451" s="65"/>
      <c r="D451" s="65"/>
    </row>
    <row r="452" spans="1:4" s="66" customFormat="1" ht="17.100000000000001" customHeight="1" x14ac:dyDescent="0.25">
      <c r="A452" s="65"/>
      <c r="B452" s="65"/>
      <c r="C452" s="65"/>
      <c r="D452" s="65"/>
    </row>
    <row r="453" spans="1:4" s="66" customFormat="1" ht="17.100000000000001" customHeight="1" x14ac:dyDescent="0.25">
      <c r="A453" s="65"/>
      <c r="B453" s="65"/>
      <c r="C453" s="65"/>
      <c r="D453" s="65"/>
    </row>
    <row r="454" spans="1:4" s="66" customFormat="1" ht="17.100000000000001" customHeight="1" x14ac:dyDescent="0.25">
      <c r="A454" s="65"/>
      <c r="B454" s="65"/>
      <c r="C454" s="65"/>
      <c r="D454" s="65"/>
    </row>
    <row r="455" spans="1:4" s="66" customFormat="1" ht="17.100000000000001" customHeight="1" x14ac:dyDescent="0.25">
      <c r="A455" s="65"/>
      <c r="B455" s="65"/>
      <c r="C455" s="65"/>
      <c r="D455" s="65"/>
    </row>
    <row r="456" spans="1:4" s="66" customFormat="1" ht="17.100000000000001" customHeight="1" x14ac:dyDescent="0.25">
      <c r="A456" s="65"/>
      <c r="B456" s="65"/>
      <c r="C456" s="65"/>
      <c r="D456" s="65"/>
    </row>
    <row r="457" spans="1:4" s="66" customFormat="1" ht="17.100000000000001" customHeight="1" x14ac:dyDescent="0.25">
      <c r="A457" s="65"/>
      <c r="B457" s="65"/>
      <c r="C457" s="65"/>
      <c r="D457" s="65"/>
    </row>
    <row r="458" spans="1:4" s="66" customFormat="1" ht="17.100000000000001" customHeight="1" x14ac:dyDescent="0.25">
      <c r="A458" s="65"/>
      <c r="B458" s="65"/>
      <c r="C458" s="65"/>
      <c r="D458" s="65"/>
    </row>
    <row r="459" spans="1:4" s="66" customFormat="1" ht="17.100000000000001" customHeight="1" x14ac:dyDescent="0.25">
      <c r="A459" s="65"/>
      <c r="B459" s="65"/>
      <c r="C459" s="65"/>
      <c r="D459" s="65"/>
    </row>
    <row r="460" spans="1:4" s="66" customFormat="1" ht="17.100000000000001" customHeight="1" x14ac:dyDescent="0.25">
      <c r="A460" s="65"/>
      <c r="B460" s="65"/>
      <c r="C460" s="65"/>
      <c r="D460" s="65"/>
    </row>
    <row r="461" spans="1:4" s="66" customFormat="1" ht="17.100000000000001" customHeight="1" x14ac:dyDescent="0.25">
      <c r="A461" s="65"/>
      <c r="B461" s="65"/>
      <c r="C461" s="65"/>
      <c r="D461" s="65"/>
    </row>
    <row r="462" spans="1:4" s="66" customFormat="1" ht="17.100000000000001" customHeight="1" x14ac:dyDescent="0.25">
      <c r="A462" s="65"/>
      <c r="B462" s="65"/>
      <c r="C462" s="65"/>
      <c r="D462" s="65"/>
    </row>
    <row r="463" spans="1:4" s="66" customFormat="1" ht="17.100000000000001" customHeight="1" x14ac:dyDescent="0.25">
      <c r="A463" s="65"/>
      <c r="B463" s="65"/>
      <c r="C463" s="65"/>
      <c r="D463" s="65"/>
    </row>
    <row r="464" spans="1:4" s="66" customFormat="1" ht="17.100000000000001" customHeight="1" x14ac:dyDescent="0.25">
      <c r="A464" s="65"/>
      <c r="B464" s="65"/>
      <c r="C464" s="65"/>
      <c r="D464" s="65"/>
    </row>
    <row r="465" spans="1:4" s="66" customFormat="1" ht="17.100000000000001" customHeight="1" x14ac:dyDescent="0.25">
      <c r="A465" s="65"/>
      <c r="B465" s="65"/>
      <c r="C465" s="65"/>
      <c r="D465" s="65"/>
    </row>
    <row r="466" spans="1:4" s="66" customFormat="1" ht="17.100000000000001" customHeight="1" x14ac:dyDescent="0.25">
      <c r="A466" s="65"/>
      <c r="B466" s="65"/>
      <c r="C466" s="65"/>
      <c r="D466" s="65"/>
    </row>
    <row r="467" spans="1:4" s="66" customFormat="1" ht="17.100000000000001" customHeight="1" x14ac:dyDescent="0.25">
      <c r="A467" s="65"/>
      <c r="B467" s="65"/>
      <c r="C467" s="65"/>
      <c r="D467" s="65"/>
    </row>
    <row r="468" spans="1:4" s="66" customFormat="1" ht="17.100000000000001" customHeight="1" x14ac:dyDescent="0.25">
      <c r="A468" s="65"/>
      <c r="B468" s="65"/>
      <c r="C468" s="65"/>
      <c r="D468" s="65"/>
    </row>
    <row r="469" spans="1:4" s="66" customFormat="1" ht="17.100000000000001" customHeight="1" x14ac:dyDescent="0.25">
      <c r="A469" s="65"/>
      <c r="B469" s="65"/>
      <c r="C469" s="65"/>
      <c r="D469" s="65"/>
    </row>
    <row r="470" spans="1:4" s="66" customFormat="1" ht="17.100000000000001" customHeight="1" x14ac:dyDescent="0.25">
      <c r="A470" s="65"/>
      <c r="B470" s="65"/>
      <c r="C470" s="65"/>
      <c r="D470" s="65"/>
    </row>
    <row r="471" spans="1:4" s="66" customFormat="1" ht="17.100000000000001" customHeight="1" x14ac:dyDescent="0.25">
      <c r="A471" s="65"/>
      <c r="B471" s="65"/>
      <c r="C471" s="65"/>
      <c r="D471" s="65"/>
    </row>
    <row r="472" spans="1:4" s="66" customFormat="1" ht="17.100000000000001" customHeight="1" x14ac:dyDescent="0.25">
      <c r="A472" s="65"/>
      <c r="B472" s="65"/>
      <c r="C472" s="65"/>
      <c r="D472" s="65"/>
    </row>
    <row r="473" spans="1:4" s="66" customFormat="1" ht="17.100000000000001" customHeight="1" x14ac:dyDescent="0.25">
      <c r="A473" s="65"/>
      <c r="B473" s="65"/>
      <c r="C473" s="65"/>
      <c r="D473" s="65"/>
    </row>
    <row r="474" spans="1:4" s="66" customFormat="1" ht="17.100000000000001" customHeight="1" x14ac:dyDescent="0.25">
      <c r="A474" s="65"/>
      <c r="B474" s="65"/>
      <c r="C474" s="65"/>
      <c r="D474" s="65"/>
    </row>
    <row r="475" spans="1:4" s="66" customFormat="1" ht="17.100000000000001" customHeight="1" x14ac:dyDescent="0.25">
      <c r="A475" s="65"/>
      <c r="B475" s="65"/>
      <c r="C475" s="65"/>
      <c r="D475" s="65"/>
    </row>
    <row r="476" spans="1:4" s="66" customFormat="1" ht="17.100000000000001" customHeight="1" x14ac:dyDescent="0.25">
      <c r="A476" s="65"/>
      <c r="B476" s="65"/>
      <c r="C476" s="65"/>
      <c r="D476" s="65"/>
    </row>
    <row r="477" spans="1:4" s="66" customFormat="1" ht="17.100000000000001" customHeight="1" x14ac:dyDescent="0.25">
      <c r="A477" s="65"/>
      <c r="B477" s="65"/>
      <c r="C477" s="65"/>
      <c r="D477" s="65"/>
    </row>
    <row r="478" spans="1:4" s="66" customFormat="1" ht="17.100000000000001" customHeight="1" x14ac:dyDescent="0.25">
      <c r="A478" s="65"/>
      <c r="B478" s="65"/>
      <c r="C478" s="65"/>
      <c r="D478" s="65"/>
    </row>
    <row r="479" spans="1:4" s="66" customFormat="1" ht="17.100000000000001" customHeight="1" x14ac:dyDescent="0.25">
      <c r="A479" s="65"/>
      <c r="B479" s="65"/>
      <c r="C479" s="65"/>
      <c r="D479" s="65"/>
    </row>
    <row r="480" spans="1:4" s="66" customFormat="1" ht="17.100000000000001" customHeight="1" x14ac:dyDescent="0.25">
      <c r="A480" s="65"/>
      <c r="B480" s="65"/>
      <c r="C480" s="65"/>
      <c r="D480" s="65"/>
    </row>
    <row r="481" spans="1:4" s="66" customFormat="1" ht="17.100000000000001" customHeight="1" x14ac:dyDescent="0.25">
      <c r="A481" s="65"/>
      <c r="B481" s="65"/>
      <c r="C481" s="65"/>
      <c r="D481" s="65"/>
    </row>
    <row r="482" spans="1:4" s="66" customFormat="1" ht="17.100000000000001" customHeight="1" x14ac:dyDescent="0.25">
      <c r="A482" s="65"/>
      <c r="B482" s="65"/>
      <c r="C482" s="65"/>
      <c r="D482" s="65"/>
    </row>
    <row r="483" spans="1:4" s="66" customFormat="1" ht="17.100000000000001" customHeight="1" x14ac:dyDescent="0.25">
      <c r="A483" s="65"/>
      <c r="B483" s="65"/>
      <c r="C483" s="65"/>
      <c r="D483" s="65"/>
    </row>
    <row r="484" spans="1:4" s="66" customFormat="1" ht="17.100000000000001" customHeight="1" x14ac:dyDescent="0.25">
      <c r="A484" s="65"/>
      <c r="B484" s="65"/>
      <c r="C484" s="65"/>
      <c r="D484" s="65"/>
    </row>
    <row r="485" spans="1:4" s="66" customFormat="1" ht="17.100000000000001" customHeight="1" x14ac:dyDescent="0.25">
      <c r="A485" s="65"/>
      <c r="B485" s="65"/>
      <c r="C485" s="65"/>
      <c r="D485" s="65"/>
    </row>
    <row r="486" spans="1:4" s="66" customFormat="1" ht="17.100000000000001" customHeight="1" x14ac:dyDescent="0.25">
      <c r="A486" s="65"/>
      <c r="B486" s="65"/>
      <c r="C486" s="65"/>
      <c r="D486" s="65"/>
    </row>
    <row r="487" spans="1:4" s="66" customFormat="1" ht="17.100000000000001" customHeight="1" x14ac:dyDescent="0.25">
      <c r="A487" s="65"/>
      <c r="B487" s="65"/>
      <c r="C487" s="65"/>
      <c r="D487" s="65"/>
    </row>
    <row r="488" spans="1:4" s="66" customFormat="1" ht="17.100000000000001" customHeight="1" x14ac:dyDescent="0.25">
      <c r="A488" s="65"/>
      <c r="B488" s="65"/>
      <c r="C488" s="65"/>
      <c r="D488" s="65"/>
    </row>
    <row r="489" spans="1:4" s="66" customFormat="1" ht="17.100000000000001" customHeight="1" x14ac:dyDescent="0.25">
      <c r="A489" s="65"/>
      <c r="B489" s="65"/>
      <c r="C489" s="65"/>
      <c r="D489" s="65"/>
    </row>
    <row r="490" spans="1:4" s="66" customFormat="1" ht="17.100000000000001" customHeight="1" x14ac:dyDescent="0.25">
      <c r="A490" s="65"/>
      <c r="B490" s="65"/>
      <c r="C490" s="65"/>
      <c r="D490" s="65"/>
    </row>
    <row r="491" spans="1:4" s="66" customFormat="1" ht="17.100000000000001" customHeight="1" x14ac:dyDescent="0.25">
      <c r="A491" s="65"/>
      <c r="B491" s="65"/>
      <c r="C491" s="65"/>
      <c r="D491" s="65"/>
    </row>
    <row r="492" spans="1:4" s="66" customFormat="1" ht="17.100000000000001" customHeight="1" x14ac:dyDescent="0.25">
      <c r="A492" s="65"/>
      <c r="B492" s="65"/>
      <c r="C492" s="65"/>
      <c r="D492" s="65"/>
    </row>
    <row r="493" spans="1:4" s="66" customFormat="1" ht="17.100000000000001" customHeight="1" x14ac:dyDescent="0.25">
      <c r="A493" s="65"/>
      <c r="B493" s="65"/>
      <c r="C493" s="65"/>
      <c r="D493" s="65"/>
    </row>
    <row r="494" spans="1:4" s="66" customFormat="1" ht="17.100000000000001" customHeight="1" x14ac:dyDescent="0.25">
      <c r="A494" s="65"/>
      <c r="B494" s="65"/>
      <c r="C494" s="65"/>
      <c r="D494" s="65"/>
    </row>
    <row r="495" spans="1:4" s="66" customFormat="1" ht="17.100000000000001" customHeight="1" x14ac:dyDescent="0.25">
      <c r="A495" s="65"/>
      <c r="B495" s="65"/>
      <c r="C495" s="65"/>
      <c r="D495" s="65"/>
    </row>
    <row r="496" spans="1:4" s="66" customFormat="1" ht="17.100000000000001" customHeight="1" x14ac:dyDescent="0.25">
      <c r="A496" s="65"/>
      <c r="B496" s="65"/>
      <c r="C496" s="65"/>
      <c r="D496" s="65"/>
    </row>
    <row r="497" spans="1:4" s="66" customFormat="1" ht="17.100000000000001" customHeight="1" x14ac:dyDescent="0.25">
      <c r="A497" s="65"/>
      <c r="B497" s="65"/>
      <c r="C497" s="65"/>
      <c r="D497" s="65"/>
    </row>
    <row r="498" spans="1:4" s="66" customFormat="1" ht="17.100000000000001" customHeight="1" x14ac:dyDescent="0.25">
      <c r="A498" s="65"/>
      <c r="B498" s="65"/>
      <c r="C498" s="65"/>
      <c r="D498" s="65"/>
    </row>
    <row r="499" spans="1:4" s="66" customFormat="1" ht="17.100000000000001" customHeight="1" x14ac:dyDescent="0.25">
      <c r="A499" s="65"/>
      <c r="B499" s="65"/>
      <c r="C499" s="65"/>
      <c r="D499" s="65"/>
    </row>
    <row r="500" spans="1:4" s="66" customFormat="1" ht="17.100000000000001" customHeight="1" x14ac:dyDescent="0.25">
      <c r="A500" s="65"/>
      <c r="B500" s="65"/>
      <c r="C500" s="65"/>
      <c r="D500" s="65"/>
    </row>
    <row r="501" spans="1:4" s="66" customFormat="1" ht="17.100000000000001" customHeight="1" x14ac:dyDescent="0.25">
      <c r="A501" s="65"/>
      <c r="B501" s="65"/>
      <c r="C501" s="65"/>
      <c r="D501" s="65"/>
    </row>
    <row r="502" spans="1:4" s="66" customFormat="1" ht="17.100000000000001" customHeight="1" x14ac:dyDescent="0.25">
      <c r="A502" s="65"/>
      <c r="B502" s="65"/>
      <c r="C502" s="65"/>
      <c r="D502" s="65"/>
    </row>
    <row r="503" spans="1:4" s="66" customFormat="1" ht="17.100000000000001" customHeight="1" x14ac:dyDescent="0.25">
      <c r="A503" s="65"/>
      <c r="B503" s="65"/>
      <c r="C503" s="65"/>
      <c r="D503" s="65"/>
    </row>
    <row r="504" spans="1:4" s="66" customFormat="1" ht="17.100000000000001" customHeight="1" x14ac:dyDescent="0.25">
      <c r="A504" s="65"/>
      <c r="B504" s="65"/>
      <c r="C504" s="65"/>
      <c r="D504" s="65"/>
    </row>
    <row r="505" spans="1:4" s="66" customFormat="1" ht="17.100000000000001" customHeight="1" x14ac:dyDescent="0.25">
      <c r="A505" s="65"/>
      <c r="B505" s="65"/>
      <c r="C505" s="65"/>
      <c r="D505" s="65"/>
    </row>
    <row r="506" spans="1:4" s="66" customFormat="1" ht="17.100000000000001" customHeight="1" x14ac:dyDescent="0.25">
      <c r="A506" s="65"/>
      <c r="B506" s="65"/>
      <c r="C506" s="65"/>
      <c r="D506" s="65"/>
    </row>
    <row r="507" spans="1:4" s="66" customFormat="1" ht="17.100000000000001" customHeight="1" x14ac:dyDescent="0.25">
      <c r="A507" s="65"/>
      <c r="B507" s="65"/>
      <c r="C507" s="65"/>
      <c r="D507" s="65"/>
    </row>
    <row r="508" spans="1:4" s="66" customFormat="1" ht="17.100000000000001" customHeight="1" x14ac:dyDescent="0.25">
      <c r="A508" s="65"/>
      <c r="B508" s="65"/>
      <c r="C508" s="65"/>
      <c r="D508" s="65"/>
    </row>
    <row r="509" spans="1:4" s="66" customFormat="1" ht="17.100000000000001" customHeight="1" x14ac:dyDescent="0.25">
      <c r="A509" s="65"/>
      <c r="B509" s="65"/>
      <c r="C509" s="65"/>
      <c r="D509" s="65"/>
    </row>
    <row r="510" spans="1:4" s="66" customFormat="1" ht="17.100000000000001" customHeight="1" x14ac:dyDescent="0.25">
      <c r="A510" s="65"/>
      <c r="B510" s="65"/>
      <c r="C510" s="65"/>
      <c r="D510" s="65"/>
    </row>
    <row r="511" spans="1:4" s="66" customFormat="1" ht="17.100000000000001" customHeight="1" x14ac:dyDescent="0.25">
      <c r="A511" s="65"/>
      <c r="B511" s="65"/>
      <c r="C511" s="65"/>
      <c r="D511" s="65"/>
    </row>
    <row r="512" spans="1:4" s="66" customFormat="1" ht="17.100000000000001" customHeight="1" x14ac:dyDescent="0.25">
      <c r="A512" s="65"/>
      <c r="B512" s="65"/>
      <c r="C512" s="65"/>
      <c r="D512" s="65"/>
    </row>
    <row r="513" spans="1:4" s="66" customFormat="1" ht="17.100000000000001" customHeight="1" x14ac:dyDescent="0.25">
      <c r="A513" s="65"/>
      <c r="B513" s="65"/>
      <c r="C513" s="65"/>
      <c r="D513" s="65"/>
    </row>
    <row r="514" spans="1:4" s="66" customFormat="1" ht="17.100000000000001" customHeight="1" x14ac:dyDescent="0.25">
      <c r="A514" s="65"/>
      <c r="B514" s="65"/>
      <c r="C514" s="65"/>
      <c r="D514" s="65"/>
    </row>
    <row r="515" spans="1:4" s="66" customFormat="1" ht="17.100000000000001" customHeight="1" x14ac:dyDescent="0.25">
      <c r="A515" s="65"/>
      <c r="B515" s="65"/>
      <c r="C515" s="65"/>
      <c r="D515" s="65"/>
    </row>
    <row r="516" spans="1:4" s="66" customFormat="1" ht="17.100000000000001" customHeight="1" x14ac:dyDescent="0.25">
      <c r="A516" s="65"/>
      <c r="B516" s="65"/>
      <c r="C516" s="65"/>
      <c r="D516" s="65"/>
    </row>
    <row r="517" spans="1:4" s="66" customFormat="1" ht="17.100000000000001" customHeight="1" x14ac:dyDescent="0.25">
      <c r="A517" s="65"/>
      <c r="B517" s="65"/>
      <c r="C517" s="65"/>
      <c r="D517" s="65"/>
    </row>
    <row r="518" spans="1:4" s="66" customFormat="1" ht="17.100000000000001" customHeight="1" x14ac:dyDescent="0.25">
      <c r="A518" s="65"/>
      <c r="B518" s="65"/>
      <c r="C518" s="65"/>
      <c r="D518" s="65"/>
    </row>
    <row r="519" spans="1:4" s="66" customFormat="1" ht="17.100000000000001" customHeight="1" x14ac:dyDescent="0.25">
      <c r="A519" s="65"/>
      <c r="B519" s="65"/>
      <c r="C519" s="65"/>
      <c r="D519" s="65"/>
    </row>
    <row r="520" spans="1:4" s="66" customFormat="1" ht="17.100000000000001" customHeight="1" x14ac:dyDescent="0.25">
      <c r="A520" s="65"/>
      <c r="B520" s="65"/>
      <c r="C520" s="65"/>
      <c r="D520" s="65"/>
    </row>
    <row r="521" spans="1:4" s="66" customFormat="1" ht="17.100000000000001" customHeight="1" x14ac:dyDescent="0.25">
      <c r="A521" s="65"/>
      <c r="B521" s="65"/>
      <c r="C521" s="65"/>
      <c r="D521" s="65"/>
    </row>
    <row r="522" spans="1:4" s="66" customFormat="1" ht="17.100000000000001" customHeight="1" x14ac:dyDescent="0.25">
      <c r="A522" s="65"/>
      <c r="B522" s="65"/>
      <c r="C522" s="65"/>
      <c r="D522" s="65"/>
    </row>
    <row r="523" spans="1:4" s="66" customFormat="1" ht="17.100000000000001" customHeight="1" x14ac:dyDescent="0.25">
      <c r="A523" s="65"/>
      <c r="B523" s="65"/>
      <c r="C523" s="65"/>
      <c r="D523" s="65"/>
    </row>
    <row r="524" spans="1:4" s="66" customFormat="1" ht="17.100000000000001" customHeight="1" x14ac:dyDescent="0.25">
      <c r="A524" s="65"/>
      <c r="B524" s="65"/>
      <c r="C524" s="65"/>
      <c r="D524" s="65"/>
    </row>
    <row r="525" spans="1:4" s="66" customFormat="1" ht="17.100000000000001" customHeight="1" x14ac:dyDescent="0.25">
      <c r="A525" s="65"/>
      <c r="B525" s="65"/>
      <c r="C525" s="65"/>
      <c r="D525" s="65"/>
    </row>
    <row r="526" spans="1:4" s="66" customFormat="1" ht="17.100000000000001" customHeight="1" x14ac:dyDescent="0.25">
      <c r="A526" s="65"/>
      <c r="B526" s="65"/>
      <c r="C526" s="65"/>
      <c r="D526" s="65"/>
    </row>
    <row r="527" spans="1:4" s="66" customFormat="1" ht="17.100000000000001" customHeight="1" x14ac:dyDescent="0.25">
      <c r="A527" s="65"/>
      <c r="B527" s="65"/>
      <c r="C527" s="65"/>
      <c r="D527" s="65"/>
    </row>
    <row r="528" spans="1:4" s="66" customFormat="1" ht="17.100000000000001" customHeight="1" x14ac:dyDescent="0.25">
      <c r="A528" s="65"/>
      <c r="B528" s="65"/>
      <c r="C528" s="65"/>
      <c r="D528" s="65"/>
    </row>
  </sheetData>
  <sheetProtection sheet="1" scenarios="1" formatCells="0" formatColumns="0" formatRows="0" insertRows="0" insertHyperlinks="0" deleteRows="0" selectLockedCells="1"/>
  <customSheetViews>
    <customSheetView guid="{6DE06876-0E46-46FE-AC8C-8F0FAAA09620}" scale="85" showPageBreaks="1" showRuler="0">
      <selection activeCell="L10" sqref="L10:P10"/>
      <pageMargins left="0.39370078740157483" right="0.27559055118110237" top="0.86614173228346458" bottom="0.35433070866141736" header="0.31496062992125984" footer="0.27559055118110237"/>
      <pageSetup paperSize="9" scale="68" orientation="landscape" horizontalDpi="1200" verticalDpi="1200" r:id="rId1"/>
      <headerFooter alignWithMargins="0">
        <oddHeader>&amp;L&amp;"WERFO AG,Regular"&amp;28BC&amp;C
Einstellrichtwerte Bemusterung&amp;R&amp;8
Einstellrichtwerte_Anschlussplan</oddHeader>
        <oddFooter>&amp;LErstellt&amp;&amp;[Datum]/HLN
Freigegeben &amp;CWerfo
Bemusterung</oddFooter>
      </headerFooter>
    </customSheetView>
  </customSheetViews>
  <mergeCells count="142">
    <mergeCell ref="C3:E3"/>
    <mergeCell ref="J1:K1"/>
    <mergeCell ref="C78:C81"/>
    <mergeCell ref="D78:D81"/>
    <mergeCell ref="E78:E81"/>
    <mergeCell ref="F78:F81"/>
    <mergeCell ref="G78:G81"/>
    <mergeCell ref="H78:H81"/>
    <mergeCell ref="C62:C65"/>
    <mergeCell ref="D62:D65"/>
    <mergeCell ref="E62:E65"/>
    <mergeCell ref="F62:F65"/>
    <mergeCell ref="G62:G65"/>
    <mergeCell ref="H62:H65"/>
    <mergeCell ref="G70:G73"/>
    <mergeCell ref="H70:H73"/>
    <mergeCell ref="C74:C77"/>
    <mergeCell ref="D74:D77"/>
    <mergeCell ref="F74:F77"/>
    <mergeCell ref="E70:E73"/>
    <mergeCell ref="F70:F73"/>
    <mergeCell ref="F46:F49"/>
    <mergeCell ref="G46:G49"/>
    <mergeCell ref="H46:H49"/>
    <mergeCell ref="H74:H77"/>
    <mergeCell ref="C58:C61"/>
    <mergeCell ref="D58:D61"/>
    <mergeCell ref="E58:E61"/>
    <mergeCell ref="F58:F61"/>
    <mergeCell ref="G58:G61"/>
    <mergeCell ref="H58:H61"/>
    <mergeCell ref="G66:G69"/>
    <mergeCell ref="H66:H69"/>
    <mergeCell ref="G74:G77"/>
    <mergeCell ref="G54:G57"/>
    <mergeCell ref="H54:H57"/>
    <mergeCell ref="F6:F9"/>
    <mergeCell ref="G6:G9"/>
    <mergeCell ref="F26:F29"/>
    <mergeCell ref="G26:G29"/>
    <mergeCell ref="H26:H29"/>
    <mergeCell ref="E26:E29"/>
    <mergeCell ref="H38:H41"/>
    <mergeCell ref="G42:G45"/>
    <mergeCell ref="H42:H45"/>
    <mergeCell ref="G10:G13"/>
    <mergeCell ref="H10:H13"/>
    <mergeCell ref="G34:G37"/>
    <mergeCell ref="H34:H37"/>
    <mergeCell ref="F38:F41"/>
    <mergeCell ref="G38:G41"/>
    <mergeCell ref="G50:G53"/>
    <mergeCell ref="G18:G21"/>
    <mergeCell ref="A66:A85"/>
    <mergeCell ref="B66:B85"/>
    <mergeCell ref="C50:C53"/>
    <mergeCell ref="D50:D53"/>
    <mergeCell ref="E50:E53"/>
    <mergeCell ref="F50:F53"/>
    <mergeCell ref="C54:C57"/>
    <mergeCell ref="D54:D57"/>
    <mergeCell ref="C42:C45"/>
    <mergeCell ref="D42:D45"/>
    <mergeCell ref="E42:E45"/>
    <mergeCell ref="F42:F45"/>
    <mergeCell ref="C46:C49"/>
    <mergeCell ref="D46:D49"/>
    <mergeCell ref="E46:E49"/>
    <mergeCell ref="D70:D73"/>
    <mergeCell ref="E74:E77"/>
    <mergeCell ref="E54:E57"/>
    <mergeCell ref="F54:F57"/>
    <mergeCell ref="C70:C73"/>
    <mergeCell ref="A6:A25"/>
    <mergeCell ref="A26:A45"/>
    <mergeCell ref="A46:A65"/>
    <mergeCell ref="B6:B25"/>
    <mergeCell ref="B26:B45"/>
    <mergeCell ref="B46:B65"/>
    <mergeCell ref="C6:C9"/>
    <mergeCell ref="D6:D9"/>
    <mergeCell ref="E6:E9"/>
    <mergeCell ref="C38:C41"/>
    <mergeCell ref="D38:D41"/>
    <mergeCell ref="E38:E41"/>
    <mergeCell ref="C14:C17"/>
    <mergeCell ref="C10:C13"/>
    <mergeCell ref="D10:D13"/>
    <mergeCell ref="E10:E13"/>
    <mergeCell ref="C34:C37"/>
    <mergeCell ref="D34:D37"/>
    <mergeCell ref="E34:E37"/>
    <mergeCell ref="D14:D17"/>
    <mergeCell ref="E14:E17"/>
    <mergeCell ref="K66:K85"/>
    <mergeCell ref="H1:I1"/>
    <mergeCell ref="I5:J5"/>
    <mergeCell ref="E30:E33"/>
    <mergeCell ref="F30:F33"/>
    <mergeCell ref="G30:G33"/>
    <mergeCell ref="H30:H33"/>
    <mergeCell ref="I6:J25"/>
    <mergeCell ref="I26:J45"/>
    <mergeCell ref="I46:J65"/>
    <mergeCell ref="K6:K25"/>
    <mergeCell ref="K26:K45"/>
    <mergeCell ref="K46:K65"/>
    <mergeCell ref="H18:H21"/>
    <mergeCell ref="E22:E25"/>
    <mergeCell ref="F22:F25"/>
    <mergeCell ref="G22:G25"/>
    <mergeCell ref="H22:H25"/>
    <mergeCell ref="H6:H9"/>
    <mergeCell ref="F10:F13"/>
    <mergeCell ref="F34:F37"/>
    <mergeCell ref="F14:F17"/>
    <mergeCell ref="G14:G17"/>
    <mergeCell ref="H50:H53"/>
    <mergeCell ref="G87:K87"/>
    <mergeCell ref="A1:B1"/>
    <mergeCell ref="C82:C85"/>
    <mergeCell ref="D82:D85"/>
    <mergeCell ref="E82:E85"/>
    <mergeCell ref="F82:F85"/>
    <mergeCell ref="G82:G85"/>
    <mergeCell ref="H82:H85"/>
    <mergeCell ref="C66:C69"/>
    <mergeCell ref="D66:D69"/>
    <mergeCell ref="E66:E69"/>
    <mergeCell ref="F66:F69"/>
    <mergeCell ref="C22:C25"/>
    <mergeCell ref="D22:D25"/>
    <mergeCell ref="C26:C29"/>
    <mergeCell ref="D26:D29"/>
    <mergeCell ref="C30:C33"/>
    <mergeCell ref="D30:D33"/>
    <mergeCell ref="H14:H17"/>
    <mergeCell ref="C18:C21"/>
    <mergeCell ref="D18:D21"/>
    <mergeCell ref="E18:E21"/>
    <mergeCell ref="F18:F21"/>
    <mergeCell ref="I66:J85"/>
  </mergeCells>
  <phoneticPr fontId="0" type="noConversion"/>
  <conditionalFormatting sqref="K6:K86">
    <cfRule type="containsText" dxfId="68" priority="3" operator="containsText" text="ja">
      <formula>NOT(ISERROR(SEARCH("ja",K6)))</formula>
    </cfRule>
    <cfRule type="containsText" dxfId="67" priority="4" operator="containsText" text="nein">
      <formula>NOT(ISERROR(SEARCH("nein",K6)))</formula>
    </cfRule>
    <cfRule type="containsText" dxfId="66" priority="5" operator="containsText" text="no">
      <formula>NOT(ISERROR(SEARCH("no",K6)))</formula>
    </cfRule>
    <cfRule type="containsText" dxfId="65" priority="6" operator="containsText" text="yes">
      <formula>NOT(ISERROR(SEARCH("yes",K6)))</formula>
    </cfRule>
  </conditionalFormatting>
  <conditionalFormatting sqref="B6:J85">
    <cfRule type="expression" dxfId="64" priority="1">
      <formula>ISBLANK(B6)</formula>
    </cfRule>
  </conditionalFormatting>
  <dataValidations xWindow="437" yWindow="539" count="2">
    <dataValidation allowBlank="1" showInputMessage="1" showErrorMessage="1" promptTitle="INFO" prompt="DEUTSCH:_x000a_Das Datum in folgendem Format eingeben:_x000a_TT.MM.JJJJ (Das Format wird automatisch in TT-MMM-JJJJ umgewandelt)_x000a__x000a_ENGLISH_x000a_Enter date in following format:_x000a_DD.MM.YYYY (The format will be automatically converted to DD-MMM-YYYY)" sqref="D5" xr:uid="{364050D5-723F-4E76-8719-43DA531392BC}"/>
    <dataValidation allowBlank="1" showInputMessage="1" showErrorMessage="1" promptTitle="INFO:" prompt="DEUTSCH:_x000a_Hinzufügen des Wertes in der Spalte &quot;Pkt.&quot; heutiges Datum und eingegebene SGM-Nr. werden automatisch ergänzt._x000a__x000a_ENGLISH:_x000a_Adding the Value into the Column &quot;#&quot;, current date and entered Machine Nr. will be automatically added accordingly." sqref="C10:C85 C6:C9" xr:uid="{8B3B9C04-4A70-45CD-80A6-5FD2C3CF7317}"/>
  </dataValidations>
  <pageMargins left="0.59055118110236227" right="0.27559055118110237" top="0.98425196850393704" bottom="0.51181102362204722" header="0.51181102362204722" footer="0.23622047244094491"/>
  <pageSetup paperSize="9" scale="30" fitToHeight="0" orientation="landscape" copies="5" r:id="rId2"/>
  <headerFooter alignWithMargins="0">
    <oddHeader>&amp;R&amp;G
&amp;L&amp;"Arial,Bold"&amp;22Produktion&amp;C&amp;"Arial,Bold"&amp;26Probleme / Massnahmen 1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drawing r:id="rId3"/>
  <legacyDrawingHF r:id="rId4"/>
  <extLst>
    <ext xmlns:x14="http://schemas.microsoft.com/office/spreadsheetml/2009/9/main" uri="{CCE6A557-97BC-4b89-ADB6-D9C93CAAB3DF}">
      <x14:dataValidations xmlns:xm="http://schemas.microsoft.com/office/excel/2006/main" xWindow="437" yWindow="539" count="3">
        <x14:dataValidation type="list" allowBlank="1" showInputMessage="1" showErrorMessage="1" xr:uid="{00000000-0002-0000-0100-000000000000}">
          <x14:formula1>
            <xm:f>Infos!$B$79:$B$80</xm:f>
          </x14:formula1>
          <xm:sqref>G87:K87</xm:sqref>
        </x14:dataValidation>
        <x14:dataValidation type="list" allowBlank="1" showInputMessage="1" showErrorMessage="1" xr:uid="{9F10295C-CD19-42BF-8922-79EA5AFD3748}">
          <x14:formula1>
            <xm:f>buff!$B$2:$B$5</xm:f>
          </x14:formula1>
          <xm:sqref>K26:K85</xm:sqref>
        </x14:dataValidation>
        <x14:dataValidation type="list" allowBlank="1" showInputMessage="1" showErrorMessage="1" xr:uid="{5BE4D34E-BED1-4903-8D2F-2C1804744070}">
          <x14:formula1>
            <xm:f>buff!$A$2:$A$5</xm:f>
          </x14:formula1>
          <xm:sqref>K6:K25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pageSetUpPr fitToPage="1"/>
  </sheetPr>
  <dimension ref="A1:S528"/>
  <sheetViews>
    <sheetView showGridLines="0" view="pageLayout" zoomScale="40" zoomScaleNormal="50" zoomScalePageLayoutView="40" workbookViewId="0">
      <selection activeCell="H74" sqref="H74:H77"/>
    </sheetView>
  </sheetViews>
  <sheetFormatPr defaultColWidth="3.6640625" defaultRowHeight="17.100000000000001" customHeight="1" x14ac:dyDescent="0.25"/>
  <cols>
    <col min="1" max="1" width="9.33203125" style="61" customWidth="1"/>
    <col min="2" max="2" width="85.5546875" style="61" customWidth="1"/>
    <col min="3" max="3" width="7.33203125" style="61" bestFit="1" customWidth="1"/>
    <col min="4" max="4" width="26.5546875" style="61" bestFit="1" customWidth="1"/>
    <col min="5" max="5" width="19.88671875" style="62" bestFit="1" customWidth="1"/>
    <col min="6" max="6" width="100" style="62" customWidth="1"/>
    <col min="7" max="7" width="63" style="62" customWidth="1"/>
    <col min="8" max="8" width="33.5546875" style="62" bestFit="1" customWidth="1"/>
    <col min="9" max="9" width="35.6640625" style="62" customWidth="1"/>
    <col min="10" max="10" width="34.109375" style="62" customWidth="1"/>
    <col min="11" max="11" width="30.44140625" style="62" bestFit="1" customWidth="1"/>
    <col min="12" max="18" width="3.6640625" style="62"/>
    <col min="19" max="19" width="34.33203125" style="62" customWidth="1"/>
    <col min="20" max="16384" width="3.6640625" style="62"/>
  </cols>
  <sheetData>
    <row r="1" spans="1:12" s="56" customFormat="1" ht="39" customHeight="1" thickBot="1" x14ac:dyDescent="0.3">
      <c r="A1" s="373" t="str">
        <f>IF(Sprache="English","article:  ",IF(Sprache="Deutsch","Artikel:  ",""))&amp;Infos!B3</f>
        <v xml:space="preserve">Artikel:  </v>
      </c>
      <c r="B1" s="374"/>
      <c r="C1" s="51"/>
      <c r="D1" s="52"/>
      <c r="E1" s="53"/>
      <c r="F1" s="54" t="str">
        <f>IF(Sprache="English","mold number: ",IF(Sprache="Deutsch","Werkzeugnummer:  ","")) &amp; Infos!D2</f>
        <v xml:space="preserve">Werkzeugnummer:  </v>
      </c>
      <c r="G1" s="260" t="str">
        <f>IF(Sprache="English","order number: ",IF(Sprache="Deutsch","Auftragsnummer:  ","")) &amp; Infos!B4</f>
        <v xml:space="preserve">Auftragsnummer:  </v>
      </c>
      <c r="H1" s="386" t="str">
        <f xml:space="preserve"> "medmix ID: / Index:            " &amp; Infos!B2 &amp; " / " &amp;Infos!$B$5</f>
        <v xml:space="preserve">medmix ID: / Index:             / </v>
      </c>
      <c r="I1" s="387"/>
      <c r="J1" s="402"/>
      <c r="K1" s="403"/>
      <c r="L1" s="55"/>
    </row>
    <row r="2" spans="1:12" s="60" customFormat="1" ht="24.9" customHeight="1" x14ac:dyDescent="0.4">
      <c r="A2" s="267"/>
      <c r="B2" s="57"/>
      <c r="C2" s="57"/>
      <c r="D2" s="58"/>
      <c r="E2"/>
      <c r="F2" s="57"/>
      <c r="G2" s="57"/>
      <c r="H2" s="57"/>
      <c r="I2" s="57"/>
      <c r="J2" s="57"/>
      <c r="K2" s="268"/>
      <c r="L2" s="59"/>
    </row>
    <row r="3" spans="1:12" ht="28.5" customHeight="1" x14ac:dyDescent="0.35">
      <c r="A3" s="269" t="str">
        <f>IF(Sprache="English","name / date",IF(Sprache="Deutsch","Name / Datum:  ",""))</f>
        <v xml:space="preserve">Name / Datum:  </v>
      </c>
      <c r="B3" s="263"/>
      <c r="C3" s="401" t="str">
        <f>Infos!$D$5 &amp; "    / " &amp; TEXT(Infos!$B$6, "TT-MMM-JJJJ")</f>
        <v xml:space="preserve">    / 00-Jan-1900</v>
      </c>
      <c r="D3" s="401"/>
      <c r="E3" s="401"/>
      <c r="K3" s="270"/>
    </row>
    <row r="4" spans="1:12" ht="21.75" customHeight="1" x14ac:dyDescent="0.25">
      <c r="A4" s="271"/>
      <c r="K4" s="270"/>
    </row>
    <row r="5" spans="1:12" ht="20.399999999999999" customHeight="1" x14ac:dyDescent="0.35">
      <c r="A5" s="272" t="str">
        <f>IF(Sprache="English","#",IF(Sprache="Deutsch","Pkt.  ",""))</f>
        <v xml:space="preserve">Pkt.  </v>
      </c>
      <c r="B5" s="265" t="str">
        <f>IF(Sprache="English","Problems",IF(Sprache="Deutsch","Probleme",""))</f>
        <v>Probleme</v>
      </c>
      <c r="C5" s="265" t="str">
        <f>IF(Sprache="English","#",IF(Sprache="Deutsch","Pkt.  ",""))</f>
        <v xml:space="preserve">Pkt.  </v>
      </c>
      <c r="D5" s="264" t="str">
        <f>IF(Sprache="English","date",IF(Sprache="Deutsch","Datum",""))</f>
        <v>Datum</v>
      </c>
      <c r="E5" s="298" t="str">
        <f>IF(Sprache="English","IMM",IF(Sprache="Deutsch","SGM",""))</f>
        <v>SGM</v>
      </c>
      <c r="F5" s="266" t="str">
        <f>IF(Sprache="English","conducted measures",IF(Sprache="Deutsch","umgesetzte verfahrenstechnische Massnahmen",""))</f>
        <v>umgesetzte verfahrenstechnische Massnahmen</v>
      </c>
      <c r="G5" s="266" t="str">
        <f>IF(Sprache="English","open measures",IF(Sprache="Deutsch","offene Massnahmen",""))</f>
        <v>offene Massnahmen</v>
      </c>
      <c r="H5" s="266" t="str">
        <f>IF(Sprache="English","expert team at IMM",IF(Sprache="Deutsch","Expertenteam an SGM",""))</f>
        <v>Expertenteam an SGM</v>
      </c>
      <c r="I5" s="388" t="str">
        <f>IF(Sprache="English","performed measures Project Manager",IF(Sprache="Deutsch","durchgeführte Arbeiten Projektleiter",""))</f>
        <v>durchgeführte Arbeiten Projektleiter</v>
      </c>
      <c r="J5" s="389"/>
      <c r="K5" s="273" t="str">
        <f>IF(Sprache="English","problem solved",IF(Sprache="Deutsch","Problem behoben",""))</f>
        <v>Problem behoben</v>
      </c>
    </row>
    <row r="6" spans="1:12" s="68" customFormat="1" ht="15" customHeight="1" x14ac:dyDescent="0.25">
      <c r="A6" s="396">
        <v>5</v>
      </c>
      <c r="B6" s="397"/>
      <c r="C6" s="375"/>
      <c r="D6" s="405"/>
      <c r="E6" s="375"/>
      <c r="F6" s="375"/>
      <c r="G6" s="375"/>
      <c r="H6" s="375"/>
      <c r="I6" s="390"/>
      <c r="J6" s="391"/>
      <c r="K6" s="385" t="s">
        <v>144</v>
      </c>
    </row>
    <row r="7" spans="1:12" s="69" customFormat="1" ht="15" customHeight="1" x14ac:dyDescent="0.25">
      <c r="A7" s="396"/>
      <c r="B7" s="398"/>
      <c r="C7" s="376"/>
      <c r="D7" s="376"/>
      <c r="E7" s="376"/>
      <c r="F7" s="376"/>
      <c r="G7" s="376"/>
      <c r="H7" s="376"/>
      <c r="I7" s="392"/>
      <c r="J7" s="393"/>
      <c r="K7" s="385"/>
    </row>
    <row r="8" spans="1:12" s="69" customFormat="1" ht="15" customHeight="1" x14ac:dyDescent="0.25">
      <c r="A8" s="396"/>
      <c r="B8" s="398"/>
      <c r="C8" s="376"/>
      <c r="D8" s="376"/>
      <c r="E8" s="376"/>
      <c r="F8" s="376"/>
      <c r="G8" s="376"/>
      <c r="H8" s="376"/>
      <c r="I8" s="392"/>
      <c r="J8" s="393"/>
      <c r="K8" s="385"/>
    </row>
    <row r="9" spans="1:12" s="69" customFormat="1" ht="15" customHeight="1" x14ac:dyDescent="0.25">
      <c r="A9" s="396"/>
      <c r="B9" s="398"/>
      <c r="C9" s="377"/>
      <c r="D9" s="377"/>
      <c r="E9" s="377"/>
      <c r="F9" s="377"/>
      <c r="G9" s="377"/>
      <c r="H9" s="377"/>
      <c r="I9" s="392"/>
      <c r="J9" s="393"/>
      <c r="K9" s="385"/>
    </row>
    <row r="10" spans="1:12" s="70" customFormat="1" ht="15" customHeight="1" x14ac:dyDescent="0.25">
      <c r="A10" s="396"/>
      <c r="B10" s="398"/>
      <c r="C10" s="375"/>
      <c r="D10" s="405"/>
      <c r="E10" s="375"/>
      <c r="F10" s="375"/>
      <c r="G10" s="375"/>
      <c r="H10" s="375"/>
      <c r="I10" s="392"/>
      <c r="J10" s="393"/>
      <c r="K10" s="385"/>
    </row>
    <row r="11" spans="1:12" s="70" customFormat="1" ht="15" customHeight="1" x14ac:dyDescent="0.25">
      <c r="A11" s="396"/>
      <c r="B11" s="398"/>
      <c r="C11" s="376"/>
      <c r="D11" s="376"/>
      <c r="E11" s="376"/>
      <c r="F11" s="376"/>
      <c r="G11" s="376"/>
      <c r="H11" s="376"/>
      <c r="I11" s="392"/>
      <c r="J11" s="393"/>
      <c r="K11" s="385"/>
    </row>
    <row r="12" spans="1:12" s="70" customFormat="1" ht="15" customHeight="1" x14ac:dyDescent="0.25">
      <c r="A12" s="396"/>
      <c r="B12" s="398"/>
      <c r="C12" s="376"/>
      <c r="D12" s="376"/>
      <c r="E12" s="376"/>
      <c r="F12" s="376"/>
      <c r="G12" s="376"/>
      <c r="H12" s="376"/>
      <c r="I12" s="392"/>
      <c r="J12" s="393"/>
      <c r="K12" s="385"/>
    </row>
    <row r="13" spans="1:12" s="70" customFormat="1" ht="15" customHeight="1" x14ac:dyDescent="0.25">
      <c r="A13" s="396"/>
      <c r="B13" s="398"/>
      <c r="C13" s="377"/>
      <c r="D13" s="377"/>
      <c r="E13" s="377"/>
      <c r="F13" s="377"/>
      <c r="G13" s="377"/>
      <c r="H13" s="377"/>
      <c r="I13" s="392"/>
      <c r="J13" s="393"/>
      <c r="K13" s="385"/>
    </row>
    <row r="14" spans="1:12" s="70" customFormat="1" ht="15" customHeight="1" x14ac:dyDescent="0.25">
      <c r="A14" s="396"/>
      <c r="B14" s="398"/>
      <c r="C14" s="375"/>
      <c r="D14" s="375"/>
      <c r="E14" s="375"/>
      <c r="F14" s="375"/>
      <c r="G14" s="375"/>
      <c r="H14" s="375"/>
      <c r="I14" s="392"/>
      <c r="J14" s="393"/>
      <c r="K14" s="385"/>
    </row>
    <row r="15" spans="1:12" s="70" customFormat="1" ht="15" customHeight="1" x14ac:dyDescent="0.25">
      <c r="A15" s="396"/>
      <c r="B15" s="398"/>
      <c r="C15" s="376"/>
      <c r="D15" s="376"/>
      <c r="E15" s="376"/>
      <c r="F15" s="376"/>
      <c r="G15" s="376"/>
      <c r="H15" s="376"/>
      <c r="I15" s="392"/>
      <c r="J15" s="393"/>
      <c r="K15" s="385"/>
    </row>
    <row r="16" spans="1:12" s="70" customFormat="1" ht="15" customHeight="1" x14ac:dyDescent="0.25">
      <c r="A16" s="396"/>
      <c r="B16" s="398"/>
      <c r="C16" s="376"/>
      <c r="D16" s="376"/>
      <c r="E16" s="376"/>
      <c r="F16" s="376"/>
      <c r="G16" s="376"/>
      <c r="H16" s="376"/>
      <c r="I16" s="392"/>
      <c r="J16" s="393"/>
      <c r="K16" s="385"/>
    </row>
    <row r="17" spans="1:11" s="70" customFormat="1" ht="15.6" customHeight="1" x14ac:dyDescent="0.25">
      <c r="A17" s="396"/>
      <c r="B17" s="398"/>
      <c r="C17" s="377"/>
      <c r="D17" s="377"/>
      <c r="E17" s="377"/>
      <c r="F17" s="377"/>
      <c r="G17" s="377"/>
      <c r="H17" s="377"/>
      <c r="I17" s="392"/>
      <c r="J17" s="393"/>
      <c r="K17" s="385"/>
    </row>
    <row r="18" spans="1:11" s="70" customFormat="1" ht="15" customHeight="1" x14ac:dyDescent="0.25">
      <c r="A18" s="396"/>
      <c r="B18" s="398"/>
      <c r="C18" s="375"/>
      <c r="D18" s="375"/>
      <c r="E18" s="375"/>
      <c r="F18" s="375"/>
      <c r="G18" s="375"/>
      <c r="H18" s="375"/>
      <c r="I18" s="392"/>
      <c r="J18" s="393"/>
      <c r="K18" s="385"/>
    </row>
    <row r="19" spans="1:11" s="70" customFormat="1" ht="15" customHeight="1" x14ac:dyDescent="0.25">
      <c r="A19" s="396"/>
      <c r="B19" s="398"/>
      <c r="C19" s="376"/>
      <c r="D19" s="376"/>
      <c r="E19" s="376"/>
      <c r="F19" s="376"/>
      <c r="G19" s="376"/>
      <c r="H19" s="376"/>
      <c r="I19" s="392"/>
      <c r="J19" s="393"/>
      <c r="K19" s="385"/>
    </row>
    <row r="20" spans="1:11" s="70" customFormat="1" ht="15" customHeight="1" x14ac:dyDescent="0.25">
      <c r="A20" s="396"/>
      <c r="B20" s="398"/>
      <c r="C20" s="376"/>
      <c r="D20" s="376"/>
      <c r="E20" s="376"/>
      <c r="F20" s="376"/>
      <c r="G20" s="376"/>
      <c r="H20" s="376"/>
      <c r="I20" s="392"/>
      <c r="J20" s="393"/>
      <c r="K20" s="385"/>
    </row>
    <row r="21" spans="1:11" s="70" customFormat="1" ht="15" customHeight="1" x14ac:dyDescent="0.25">
      <c r="A21" s="396"/>
      <c r="B21" s="398"/>
      <c r="C21" s="377"/>
      <c r="D21" s="377"/>
      <c r="E21" s="377"/>
      <c r="F21" s="377"/>
      <c r="G21" s="377"/>
      <c r="H21" s="377"/>
      <c r="I21" s="392"/>
      <c r="J21" s="393"/>
      <c r="K21" s="385"/>
    </row>
    <row r="22" spans="1:11" s="70" customFormat="1" ht="15" customHeight="1" x14ac:dyDescent="0.25">
      <c r="A22" s="396"/>
      <c r="B22" s="398"/>
      <c r="C22" s="375"/>
      <c r="D22" s="375"/>
      <c r="E22" s="375"/>
      <c r="F22" s="375"/>
      <c r="G22" s="375"/>
      <c r="H22" s="375"/>
      <c r="I22" s="392"/>
      <c r="J22" s="393"/>
      <c r="K22" s="385"/>
    </row>
    <row r="23" spans="1:11" s="70" customFormat="1" ht="15" customHeight="1" x14ac:dyDescent="0.25">
      <c r="A23" s="396"/>
      <c r="B23" s="398"/>
      <c r="C23" s="376"/>
      <c r="D23" s="376"/>
      <c r="E23" s="376"/>
      <c r="F23" s="376"/>
      <c r="G23" s="376"/>
      <c r="H23" s="376"/>
      <c r="I23" s="392"/>
      <c r="J23" s="393"/>
      <c r="K23" s="385"/>
    </row>
    <row r="24" spans="1:11" s="70" customFormat="1" ht="15" customHeight="1" x14ac:dyDescent="0.25">
      <c r="A24" s="396"/>
      <c r="B24" s="398"/>
      <c r="C24" s="376"/>
      <c r="D24" s="376"/>
      <c r="E24" s="376"/>
      <c r="F24" s="376"/>
      <c r="G24" s="376"/>
      <c r="H24" s="376"/>
      <c r="I24" s="392"/>
      <c r="J24" s="393"/>
      <c r="K24" s="385"/>
    </row>
    <row r="25" spans="1:11" s="70" customFormat="1" ht="15" customHeight="1" x14ac:dyDescent="0.25">
      <c r="A25" s="396"/>
      <c r="B25" s="399"/>
      <c r="C25" s="377"/>
      <c r="D25" s="377"/>
      <c r="E25" s="377"/>
      <c r="F25" s="377"/>
      <c r="G25" s="377"/>
      <c r="H25" s="377"/>
      <c r="I25" s="394"/>
      <c r="J25" s="395"/>
      <c r="K25" s="385"/>
    </row>
    <row r="26" spans="1:11" s="70" customFormat="1" ht="15" customHeight="1" x14ac:dyDescent="0.25">
      <c r="A26" s="396">
        <v>6</v>
      </c>
      <c r="B26" s="383"/>
      <c r="C26" s="375"/>
      <c r="D26" s="375"/>
      <c r="E26" s="375"/>
      <c r="F26" s="375"/>
      <c r="G26" s="375"/>
      <c r="H26" s="375"/>
      <c r="I26" s="383"/>
      <c r="J26" s="383"/>
      <c r="K26" s="385" t="s">
        <v>144</v>
      </c>
    </row>
    <row r="27" spans="1:11" s="70" customFormat="1" ht="15" customHeight="1" x14ac:dyDescent="0.25">
      <c r="A27" s="396"/>
      <c r="B27" s="383"/>
      <c r="C27" s="376"/>
      <c r="D27" s="376"/>
      <c r="E27" s="376"/>
      <c r="F27" s="376"/>
      <c r="G27" s="376"/>
      <c r="H27" s="376"/>
      <c r="I27" s="383"/>
      <c r="J27" s="383"/>
      <c r="K27" s="385"/>
    </row>
    <row r="28" spans="1:11" s="70" customFormat="1" ht="15" customHeight="1" x14ac:dyDescent="0.25">
      <c r="A28" s="396"/>
      <c r="B28" s="383"/>
      <c r="C28" s="376"/>
      <c r="D28" s="376"/>
      <c r="E28" s="376"/>
      <c r="F28" s="376"/>
      <c r="G28" s="376"/>
      <c r="H28" s="376"/>
      <c r="I28" s="383"/>
      <c r="J28" s="383"/>
      <c r="K28" s="385"/>
    </row>
    <row r="29" spans="1:11" s="70" customFormat="1" ht="15.6" customHeight="1" x14ac:dyDescent="0.25">
      <c r="A29" s="396"/>
      <c r="B29" s="383"/>
      <c r="C29" s="377"/>
      <c r="D29" s="377"/>
      <c r="E29" s="377"/>
      <c r="F29" s="377"/>
      <c r="G29" s="377"/>
      <c r="H29" s="377"/>
      <c r="I29" s="383"/>
      <c r="J29" s="383"/>
      <c r="K29" s="385"/>
    </row>
    <row r="30" spans="1:11" s="70" customFormat="1" ht="15" customHeight="1" x14ac:dyDescent="0.25">
      <c r="A30" s="396"/>
      <c r="B30" s="383"/>
      <c r="C30" s="375"/>
      <c r="D30" s="375"/>
      <c r="E30" s="375"/>
      <c r="F30" s="375"/>
      <c r="G30" s="375"/>
      <c r="H30" s="375"/>
      <c r="I30" s="383"/>
      <c r="J30" s="383"/>
      <c r="K30" s="385"/>
    </row>
    <row r="31" spans="1:11" s="70" customFormat="1" ht="15" customHeight="1" x14ac:dyDescent="0.25">
      <c r="A31" s="396"/>
      <c r="B31" s="383"/>
      <c r="C31" s="376"/>
      <c r="D31" s="376"/>
      <c r="E31" s="376"/>
      <c r="F31" s="376"/>
      <c r="G31" s="376"/>
      <c r="H31" s="376"/>
      <c r="I31" s="383"/>
      <c r="J31" s="383"/>
      <c r="K31" s="385"/>
    </row>
    <row r="32" spans="1:11" s="70" customFormat="1" ht="15" customHeight="1" x14ac:dyDescent="0.25">
      <c r="A32" s="396"/>
      <c r="B32" s="383"/>
      <c r="C32" s="376"/>
      <c r="D32" s="376"/>
      <c r="E32" s="376"/>
      <c r="F32" s="376"/>
      <c r="G32" s="376"/>
      <c r="H32" s="376"/>
      <c r="I32" s="383"/>
      <c r="J32" s="383"/>
      <c r="K32" s="385"/>
    </row>
    <row r="33" spans="1:11" s="70" customFormat="1" ht="15" customHeight="1" x14ac:dyDescent="0.25">
      <c r="A33" s="396"/>
      <c r="B33" s="383"/>
      <c r="C33" s="377"/>
      <c r="D33" s="377"/>
      <c r="E33" s="377"/>
      <c r="F33" s="377"/>
      <c r="G33" s="377"/>
      <c r="H33" s="377"/>
      <c r="I33" s="383"/>
      <c r="J33" s="383"/>
      <c r="K33" s="385"/>
    </row>
    <row r="34" spans="1:11" s="70" customFormat="1" ht="15" customHeight="1" x14ac:dyDescent="0.25">
      <c r="A34" s="396"/>
      <c r="B34" s="383"/>
      <c r="C34" s="375"/>
      <c r="D34" s="375"/>
      <c r="E34" s="375"/>
      <c r="F34" s="375"/>
      <c r="G34" s="375"/>
      <c r="H34" s="375"/>
      <c r="I34" s="383"/>
      <c r="J34" s="383"/>
      <c r="K34" s="385"/>
    </row>
    <row r="35" spans="1:11" s="70" customFormat="1" ht="15" customHeight="1" x14ac:dyDescent="0.25">
      <c r="A35" s="396"/>
      <c r="B35" s="383"/>
      <c r="C35" s="376"/>
      <c r="D35" s="376"/>
      <c r="E35" s="376"/>
      <c r="F35" s="376"/>
      <c r="G35" s="376"/>
      <c r="H35" s="376"/>
      <c r="I35" s="383"/>
      <c r="J35" s="383"/>
      <c r="K35" s="385"/>
    </row>
    <row r="36" spans="1:11" s="70" customFormat="1" ht="15" customHeight="1" x14ac:dyDescent="0.25">
      <c r="A36" s="396"/>
      <c r="B36" s="383"/>
      <c r="C36" s="376"/>
      <c r="D36" s="376"/>
      <c r="E36" s="376"/>
      <c r="F36" s="376"/>
      <c r="G36" s="376"/>
      <c r="H36" s="376"/>
      <c r="I36" s="383"/>
      <c r="J36" s="383"/>
      <c r="K36" s="385"/>
    </row>
    <row r="37" spans="1:11" s="70" customFormat="1" ht="15" customHeight="1" x14ac:dyDescent="0.25">
      <c r="A37" s="396"/>
      <c r="B37" s="383"/>
      <c r="C37" s="377"/>
      <c r="D37" s="377"/>
      <c r="E37" s="377"/>
      <c r="F37" s="377"/>
      <c r="G37" s="377"/>
      <c r="H37" s="377"/>
      <c r="I37" s="383"/>
      <c r="J37" s="383"/>
      <c r="K37" s="385"/>
    </row>
    <row r="38" spans="1:11" s="70" customFormat="1" ht="15" customHeight="1" x14ac:dyDescent="0.25">
      <c r="A38" s="396"/>
      <c r="B38" s="383"/>
      <c r="C38" s="375"/>
      <c r="D38" s="375"/>
      <c r="E38" s="375"/>
      <c r="F38" s="375"/>
      <c r="G38" s="375"/>
      <c r="H38" s="375"/>
      <c r="I38" s="383"/>
      <c r="J38" s="383"/>
      <c r="K38" s="385"/>
    </row>
    <row r="39" spans="1:11" s="70" customFormat="1" ht="15" customHeight="1" x14ac:dyDescent="0.25">
      <c r="A39" s="396"/>
      <c r="B39" s="383"/>
      <c r="C39" s="376"/>
      <c r="D39" s="376"/>
      <c r="E39" s="376"/>
      <c r="F39" s="376"/>
      <c r="G39" s="376"/>
      <c r="H39" s="376"/>
      <c r="I39" s="383"/>
      <c r="J39" s="383"/>
      <c r="K39" s="385"/>
    </row>
    <row r="40" spans="1:11" s="70" customFormat="1" ht="15" customHeight="1" x14ac:dyDescent="0.25">
      <c r="A40" s="396"/>
      <c r="B40" s="383"/>
      <c r="C40" s="376"/>
      <c r="D40" s="376"/>
      <c r="E40" s="376"/>
      <c r="F40" s="376"/>
      <c r="G40" s="376"/>
      <c r="H40" s="376"/>
      <c r="I40" s="383"/>
      <c r="J40" s="383"/>
      <c r="K40" s="385"/>
    </row>
    <row r="41" spans="1:11" s="70" customFormat="1" ht="15.6" customHeight="1" x14ac:dyDescent="0.25">
      <c r="A41" s="396"/>
      <c r="B41" s="383"/>
      <c r="C41" s="377"/>
      <c r="D41" s="377"/>
      <c r="E41" s="377"/>
      <c r="F41" s="377"/>
      <c r="G41" s="377"/>
      <c r="H41" s="377"/>
      <c r="I41" s="383"/>
      <c r="J41" s="383"/>
      <c r="K41" s="385"/>
    </row>
    <row r="42" spans="1:11" s="70" customFormat="1" ht="15" customHeight="1" x14ac:dyDescent="0.25">
      <c r="A42" s="396"/>
      <c r="B42" s="383"/>
      <c r="C42" s="375"/>
      <c r="D42" s="375"/>
      <c r="E42" s="375"/>
      <c r="F42" s="375"/>
      <c r="G42" s="375"/>
      <c r="H42" s="375"/>
      <c r="I42" s="383"/>
      <c r="J42" s="383"/>
      <c r="K42" s="385"/>
    </row>
    <row r="43" spans="1:11" s="70" customFormat="1" ht="15" customHeight="1" x14ac:dyDescent="0.25">
      <c r="A43" s="396"/>
      <c r="B43" s="383"/>
      <c r="C43" s="376"/>
      <c r="D43" s="376"/>
      <c r="E43" s="376"/>
      <c r="F43" s="376"/>
      <c r="G43" s="376"/>
      <c r="H43" s="376"/>
      <c r="I43" s="383"/>
      <c r="J43" s="383"/>
      <c r="K43" s="385"/>
    </row>
    <row r="44" spans="1:11" s="70" customFormat="1" ht="15" customHeight="1" x14ac:dyDescent="0.25">
      <c r="A44" s="396"/>
      <c r="B44" s="383"/>
      <c r="C44" s="376"/>
      <c r="D44" s="376"/>
      <c r="E44" s="376"/>
      <c r="F44" s="376"/>
      <c r="G44" s="376"/>
      <c r="H44" s="376"/>
      <c r="I44" s="383"/>
      <c r="J44" s="383"/>
      <c r="K44" s="385"/>
    </row>
    <row r="45" spans="1:11" s="70" customFormat="1" ht="15" customHeight="1" x14ac:dyDescent="0.25">
      <c r="A45" s="396"/>
      <c r="B45" s="383"/>
      <c r="C45" s="377"/>
      <c r="D45" s="377"/>
      <c r="E45" s="377"/>
      <c r="F45" s="377"/>
      <c r="G45" s="377"/>
      <c r="H45" s="377"/>
      <c r="I45" s="383"/>
      <c r="J45" s="383"/>
      <c r="K45" s="385"/>
    </row>
    <row r="46" spans="1:11" s="70" customFormat="1" ht="15" customHeight="1" x14ac:dyDescent="0.25">
      <c r="A46" s="396">
        <v>7</v>
      </c>
      <c r="B46" s="383"/>
      <c r="C46" s="375"/>
      <c r="D46" s="375"/>
      <c r="E46" s="375"/>
      <c r="F46" s="375"/>
      <c r="G46" s="375"/>
      <c r="H46" s="375"/>
      <c r="I46" s="383"/>
      <c r="J46" s="383"/>
      <c r="K46" s="385" t="s">
        <v>144</v>
      </c>
    </row>
    <row r="47" spans="1:11" s="70" customFormat="1" ht="15" customHeight="1" x14ac:dyDescent="0.25">
      <c r="A47" s="396"/>
      <c r="B47" s="383"/>
      <c r="C47" s="376"/>
      <c r="D47" s="376"/>
      <c r="E47" s="376"/>
      <c r="F47" s="376"/>
      <c r="G47" s="376"/>
      <c r="H47" s="376"/>
      <c r="I47" s="383"/>
      <c r="J47" s="383"/>
      <c r="K47" s="385"/>
    </row>
    <row r="48" spans="1:11" s="70" customFormat="1" ht="15" customHeight="1" x14ac:dyDescent="0.25">
      <c r="A48" s="396"/>
      <c r="B48" s="383"/>
      <c r="C48" s="376"/>
      <c r="D48" s="376"/>
      <c r="E48" s="376"/>
      <c r="F48" s="376"/>
      <c r="G48" s="376"/>
      <c r="H48" s="376"/>
      <c r="I48" s="383"/>
      <c r="J48" s="383"/>
      <c r="K48" s="385"/>
    </row>
    <row r="49" spans="1:11" s="70" customFormat="1" ht="15" customHeight="1" x14ac:dyDescent="0.25">
      <c r="A49" s="396"/>
      <c r="B49" s="383"/>
      <c r="C49" s="377"/>
      <c r="D49" s="377"/>
      <c r="E49" s="377"/>
      <c r="F49" s="377"/>
      <c r="G49" s="377"/>
      <c r="H49" s="377"/>
      <c r="I49" s="383"/>
      <c r="J49" s="383"/>
      <c r="K49" s="385"/>
    </row>
    <row r="50" spans="1:11" s="70" customFormat="1" ht="15" customHeight="1" x14ac:dyDescent="0.25">
      <c r="A50" s="396"/>
      <c r="B50" s="383"/>
      <c r="C50" s="375"/>
      <c r="D50" s="375"/>
      <c r="E50" s="375"/>
      <c r="F50" s="375"/>
      <c r="G50" s="375"/>
      <c r="H50" s="375"/>
      <c r="I50" s="383"/>
      <c r="J50" s="383"/>
      <c r="K50" s="385"/>
    </row>
    <row r="51" spans="1:11" s="70" customFormat="1" ht="15" customHeight="1" x14ac:dyDescent="0.25">
      <c r="A51" s="396"/>
      <c r="B51" s="383"/>
      <c r="C51" s="376"/>
      <c r="D51" s="376"/>
      <c r="E51" s="376"/>
      <c r="F51" s="376"/>
      <c r="G51" s="376"/>
      <c r="H51" s="376"/>
      <c r="I51" s="383"/>
      <c r="J51" s="383"/>
      <c r="K51" s="385"/>
    </row>
    <row r="52" spans="1:11" s="70" customFormat="1" ht="15" customHeight="1" x14ac:dyDescent="0.25">
      <c r="A52" s="396"/>
      <c r="B52" s="383"/>
      <c r="C52" s="376"/>
      <c r="D52" s="376"/>
      <c r="E52" s="376"/>
      <c r="F52" s="376"/>
      <c r="G52" s="376"/>
      <c r="H52" s="376"/>
      <c r="I52" s="383"/>
      <c r="J52" s="383"/>
      <c r="K52" s="385"/>
    </row>
    <row r="53" spans="1:11" s="70" customFormat="1" ht="15.6" customHeight="1" x14ac:dyDescent="0.25">
      <c r="A53" s="396"/>
      <c r="B53" s="383"/>
      <c r="C53" s="377"/>
      <c r="D53" s="377"/>
      <c r="E53" s="377"/>
      <c r="F53" s="377"/>
      <c r="G53" s="377"/>
      <c r="H53" s="377"/>
      <c r="I53" s="383"/>
      <c r="J53" s="383"/>
      <c r="K53" s="385"/>
    </row>
    <row r="54" spans="1:11" s="70" customFormat="1" ht="15" customHeight="1" x14ac:dyDescent="0.25">
      <c r="A54" s="396"/>
      <c r="B54" s="383"/>
      <c r="C54" s="375"/>
      <c r="D54" s="375"/>
      <c r="E54" s="375"/>
      <c r="F54" s="375"/>
      <c r="G54" s="375"/>
      <c r="H54" s="375"/>
      <c r="I54" s="383"/>
      <c r="J54" s="383"/>
      <c r="K54" s="385"/>
    </row>
    <row r="55" spans="1:11" s="70" customFormat="1" ht="15" customHeight="1" x14ac:dyDescent="0.25">
      <c r="A55" s="396"/>
      <c r="B55" s="383"/>
      <c r="C55" s="376"/>
      <c r="D55" s="376"/>
      <c r="E55" s="376"/>
      <c r="F55" s="376"/>
      <c r="G55" s="376"/>
      <c r="H55" s="376"/>
      <c r="I55" s="383"/>
      <c r="J55" s="383"/>
      <c r="K55" s="385"/>
    </row>
    <row r="56" spans="1:11" s="70" customFormat="1" ht="15" customHeight="1" x14ac:dyDescent="0.25">
      <c r="A56" s="396"/>
      <c r="B56" s="383"/>
      <c r="C56" s="376"/>
      <c r="D56" s="376"/>
      <c r="E56" s="376"/>
      <c r="F56" s="376"/>
      <c r="G56" s="376"/>
      <c r="H56" s="376"/>
      <c r="I56" s="383"/>
      <c r="J56" s="383"/>
      <c r="K56" s="385"/>
    </row>
    <row r="57" spans="1:11" s="70" customFormat="1" ht="15" customHeight="1" x14ac:dyDescent="0.25">
      <c r="A57" s="396"/>
      <c r="B57" s="383"/>
      <c r="C57" s="377"/>
      <c r="D57" s="377"/>
      <c r="E57" s="377"/>
      <c r="F57" s="377"/>
      <c r="G57" s="377"/>
      <c r="H57" s="377"/>
      <c r="I57" s="383"/>
      <c r="J57" s="383"/>
      <c r="K57" s="385"/>
    </row>
    <row r="58" spans="1:11" s="70" customFormat="1" ht="15" customHeight="1" x14ac:dyDescent="0.25">
      <c r="A58" s="396"/>
      <c r="B58" s="383"/>
      <c r="C58" s="375"/>
      <c r="D58" s="375"/>
      <c r="E58" s="375"/>
      <c r="F58" s="375"/>
      <c r="G58" s="375"/>
      <c r="H58" s="375"/>
      <c r="I58" s="383"/>
      <c r="J58" s="383"/>
      <c r="K58" s="385"/>
    </row>
    <row r="59" spans="1:11" s="70" customFormat="1" ht="15" customHeight="1" x14ac:dyDescent="0.25">
      <c r="A59" s="396"/>
      <c r="B59" s="383"/>
      <c r="C59" s="376"/>
      <c r="D59" s="376"/>
      <c r="E59" s="376"/>
      <c r="F59" s="376"/>
      <c r="G59" s="376"/>
      <c r="H59" s="376"/>
      <c r="I59" s="383"/>
      <c r="J59" s="383"/>
      <c r="K59" s="385"/>
    </row>
    <row r="60" spans="1:11" s="70" customFormat="1" ht="15" customHeight="1" x14ac:dyDescent="0.25">
      <c r="A60" s="396"/>
      <c r="B60" s="383"/>
      <c r="C60" s="376"/>
      <c r="D60" s="376"/>
      <c r="E60" s="376"/>
      <c r="F60" s="376"/>
      <c r="G60" s="376"/>
      <c r="H60" s="376"/>
      <c r="I60" s="383"/>
      <c r="J60" s="383"/>
      <c r="K60" s="385"/>
    </row>
    <row r="61" spans="1:11" s="70" customFormat="1" ht="15" customHeight="1" x14ac:dyDescent="0.25">
      <c r="A61" s="396"/>
      <c r="B61" s="383"/>
      <c r="C61" s="377"/>
      <c r="D61" s="377"/>
      <c r="E61" s="377"/>
      <c r="F61" s="377"/>
      <c r="G61" s="377"/>
      <c r="H61" s="377"/>
      <c r="I61" s="383"/>
      <c r="J61" s="383"/>
      <c r="K61" s="385"/>
    </row>
    <row r="62" spans="1:11" s="70" customFormat="1" ht="15" customHeight="1" x14ac:dyDescent="0.25">
      <c r="A62" s="396"/>
      <c r="B62" s="383"/>
      <c r="C62" s="375"/>
      <c r="D62" s="375"/>
      <c r="E62" s="375"/>
      <c r="F62" s="375"/>
      <c r="G62" s="375"/>
      <c r="H62" s="375"/>
      <c r="I62" s="383"/>
      <c r="J62" s="383"/>
      <c r="K62" s="385"/>
    </row>
    <row r="63" spans="1:11" s="70" customFormat="1" ht="15" customHeight="1" x14ac:dyDescent="0.25">
      <c r="A63" s="396"/>
      <c r="B63" s="383"/>
      <c r="C63" s="376"/>
      <c r="D63" s="376"/>
      <c r="E63" s="376"/>
      <c r="F63" s="376"/>
      <c r="G63" s="376"/>
      <c r="H63" s="376"/>
      <c r="I63" s="383"/>
      <c r="J63" s="383"/>
      <c r="K63" s="385"/>
    </row>
    <row r="64" spans="1:11" s="70" customFormat="1" ht="15" customHeight="1" x14ac:dyDescent="0.25">
      <c r="A64" s="396"/>
      <c r="B64" s="383"/>
      <c r="C64" s="376"/>
      <c r="D64" s="376"/>
      <c r="E64" s="376"/>
      <c r="F64" s="376"/>
      <c r="G64" s="376"/>
      <c r="H64" s="376"/>
      <c r="I64" s="383"/>
      <c r="J64" s="383"/>
      <c r="K64" s="385"/>
    </row>
    <row r="65" spans="1:11" s="70" customFormat="1" ht="15.6" customHeight="1" x14ac:dyDescent="0.25">
      <c r="A65" s="396"/>
      <c r="B65" s="383"/>
      <c r="C65" s="377"/>
      <c r="D65" s="377"/>
      <c r="E65" s="377"/>
      <c r="F65" s="377"/>
      <c r="G65" s="377"/>
      <c r="H65" s="377"/>
      <c r="I65" s="383"/>
      <c r="J65" s="383"/>
      <c r="K65" s="385"/>
    </row>
    <row r="66" spans="1:11" s="70" customFormat="1" ht="17.100000000000001" customHeight="1" x14ac:dyDescent="0.25">
      <c r="A66" s="396">
        <v>8</v>
      </c>
      <c r="B66" s="383"/>
      <c r="C66" s="375"/>
      <c r="D66" s="375"/>
      <c r="E66" s="375"/>
      <c r="F66" s="375"/>
      <c r="G66" s="375"/>
      <c r="H66" s="375"/>
      <c r="I66" s="383"/>
      <c r="J66" s="383"/>
      <c r="K66" s="385" t="s">
        <v>144</v>
      </c>
    </row>
    <row r="67" spans="1:11" s="70" customFormat="1" ht="17.100000000000001" customHeight="1" x14ac:dyDescent="0.25">
      <c r="A67" s="396"/>
      <c r="B67" s="383"/>
      <c r="C67" s="376"/>
      <c r="D67" s="376"/>
      <c r="E67" s="376"/>
      <c r="F67" s="376"/>
      <c r="G67" s="376"/>
      <c r="H67" s="376"/>
      <c r="I67" s="383"/>
      <c r="J67" s="383"/>
      <c r="K67" s="385"/>
    </row>
    <row r="68" spans="1:11" s="70" customFormat="1" ht="17.100000000000001" customHeight="1" x14ac:dyDescent="0.25">
      <c r="A68" s="396"/>
      <c r="B68" s="383"/>
      <c r="C68" s="376"/>
      <c r="D68" s="376"/>
      <c r="E68" s="376"/>
      <c r="F68" s="376"/>
      <c r="G68" s="376"/>
      <c r="H68" s="376"/>
      <c r="I68" s="383"/>
      <c r="J68" s="383"/>
      <c r="K68" s="385"/>
    </row>
    <row r="69" spans="1:11" s="70" customFormat="1" ht="17.100000000000001" customHeight="1" x14ac:dyDescent="0.25">
      <c r="A69" s="396"/>
      <c r="B69" s="383"/>
      <c r="C69" s="377"/>
      <c r="D69" s="377"/>
      <c r="E69" s="377"/>
      <c r="F69" s="377"/>
      <c r="G69" s="377"/>
      <c r="H69" s="377"/>
      <c r="I69" s="383"/>
      <c r="J69" s="383"/>
      <c r="K69" s="385"/>
    </row>
    <row r="70" spans="1:11" s="70" customFormat="1" ht="17.100000000000001" customHeight="1" x14ac:dyDescent="0.25">
      <c r="A70" s="396"/>
      <c r="B70" s="383"/>
      <c r="C70" s="375"/>
      <c r="D70" s="375"/>
      <c r="E70" s="375"/>
      <c r="F70" s="375"/>
      <c r="G70" s="375"/>
      <c r="H70" s="375"/>
      <c r="I70" s="383"/>
      <c r="J70" s="383"/>
      <c r="K70" s="385"/>
    </row>
    <row r="71" spans="1:11" s="70" customFormat="1" ht="17.100000000000001" customHeight="1" x14ac:dyDescent="0.25">
      <c r="A71" s="396"/>
      <c r="B71" s="383"/>
      <c r="C71" s="376"/>
      <c r="D71" s="376"/>
      <c r="E71" s="376"/>
      <c r="F71" s="376"/>
      <c r="G71" s="376"/>
      <c r="H71" s="376"/>
      <c r="I71" s="383"/>
      <c r="J71" s="383"/>
      <c r="K71" s="385"/>
    </row>
    <row r="72" spans="1:11" s="70" customFormat="1" ht="17.100000000000001" customHeight="1" x14ac:dyDescent="0.25">
      <c r="A72" s="396"/>
      <c r="B72" s="383"/>
      <c r="C72" s="376"/>
      <c r="D72" s="376"/>
      <c r="E72" s="376"/>
      <c r="F72" s="376"/>
      <c r="G72" s="376"/>
      <c r="H72" s="376"/>
      <c r="I72" s="383"/>
      <c r="J72" s="383"/>
      <c r="K72" s="385"/>
    </row>
    <row r="73" spans="1:11" s="70" customFormat="1" ht="17.100000000000001" customHeight="1" x14ac:dyDescent="0.25">
      <c r="A73" s="396"/>
      <c r="B73" s="383"/>
      <c r="C73" s="377"/>
      <c r="D73" s="377"/>
      <c r="E73" s="377"/>
      <c r="F73" s="377"/>
      <c r="G73" s="377"/>
      <c r="H73" s="377"/>
      <c r="I73" s="383"/>
      <c r="J73" s="383"/>
      <c r="K73" s="385"/>
    </row>
    <row r="74" spans="1:11" s="70" customFormat="1" ht="17.100000000000001" customHeight="1" x14ac:dyDescent="0.25">
      <c r="A74" s="396"/>
      <c r="B74" s="383"/>
      <c r="C74" s="375"/>
      <c r="D74" s="375"/>
      <c r="E74" s="375"/>
      <c r="F74" s="375"/>
      <c r="G74" s="375"/>
      <c r="H74" s="375"/>
      <c r="I74" s="383"/>
      <c r="J74" s="383"/>
      <c r="K74" s="385"/>
    </row>
    <row r="75" spans="1:11" s="70" customFormat="1" ht="17.100000000000001" customHeight="1" x14ac:dyDescent="0.25">
      <c r="A75" s="396"/>
      <c r="B75" s="383"/>
      <c r="C75" s="376"/>
      <c r="D75" s="376"/>
      <c r="E75" s="376"/>
      <c r="F75" s="376"/>
      <c r="G75" s="376"/>
      <c r="H75" s="376"/>
      <c r="I75" s="383"/>
      <c r="J75" s="383"/>
      <c r="K75" s="385"/>
    </row>
    <row r="76" spans="1:11" s="70" customFormat="1" ht="17.100000000000001" customHeight="1" x14ac:dyDescent="0.25">
      <c r="A76" s="396"/>
      <c r="B76" s="383"/>
      <c r="C76" s="376"/>
      <c r="D76" s="376"/>
      <c r="E76" s="376"/>
      <c r="F76" s="376"/>
      <c r="G76" s="376"/>
      <c r="H76" s="376"/>
      <c r="I76" s="383"/>
      <c r="J76" s="383"/>
      <c r="K76" s="385"/>
    </row>
    <row r="77" spans="1:11" s="70" customFormat="1" ht="17.100000000000001" customHeight="1" x14ac:dyDescent="0.25">
      <c r="A77" s="396"/>
      <c r="B77" s="383"/>
      <c r="C77" s="377"/>
      <c r="D77" s="377"/>
      <c r="E77" s="377"/>
      <c r="F77" s="377"/>
      <c r="G77" s="377"/>
      <c r="H77" s="377"/>
      <c r="I77" s="383"/>
      <c r="J77" s="383"/>
      <c r="K77" s="385"/>
    </row>
    <row r="78" spans="1:11" s="70" customFormat="1" ht="17.100000000000001" customHeight="1" x14ac:dyDescent="0.25">
      <c r="A78" s="396"/>
      <c r="B78" s="383"/>
      <c r="C78" s="375"/>
      <c r="D78" s="375"/>
      <c r="E78" s="375"/>
      <c r="F78" s="375"/>
      <c r="G78" s="375"/>
      <c r="H78" s="375"/>
      <c r="I78" s="383"/>
      <c r="J78" s="383"/>
      <c r="K78" s="385"/>
    </row>
    <row r="79" spans="1:11" s="70" customFormat="1" ht="17.100000000000001" customHeight="1" x14ac:dyDescent="0.25">
      <c r="A79" s="396"/>
      <c r="B79" s="383"/>
      <c r="C79" s="376"/>
      <c r="D79" s="376"/>
      <c r="E79" s="376"/>
      <c r="F79" s="376"/>
      <c r="G79" s="376"/>
      <c r="H79" s="376"/>
      <c r="I79" s="383"/>
      <c r="J79" s="383"/>
      <c r="K79" s="385"/>
    </row>
    <row r="80" spans="1:11" s="70" customFormat="1" ht="17.100000000000001" customHeight="1" x14ac:dyDescent="0.25">
      <c r="A80" s="396"/>
      <c r="B80" s="383"/>
      <c r="C80" s="376"/>
      <c r="D80" s="376"/>
      <c r="E80" s="376"/>
      <c r="F80" s="376"/>
      <c r="G80" s="376"/>
      <c r="H80" s="376"/>
      <c r="I80" s="383"/>
      <c r="J80" s="383"/>
      <c r="K80" s="385"/>
    </row>
    <row r="81" spans="1:11" s="70" customFormat="1" ht="17.100000000000001" customHeight="1" x14ac:dyDescent="0.25">
      <c r="A81" s="396"/>
      <c r="B81" s="383"/>
      <c r="C81" s="377"/>
      <c r="D81" s="377"/>
      <c r="E81" s="377"/>
      <c r="F81" s="377"/>
      <c r="G81" s="377"/>
      <c r="H81" s="377"/>
      <c r="I81" s="383"/>
      <c r="J81" s="383"/>
      <c r="K81" s="385"/>
    </row>
    <row r="82" spans="1:11" s="70" customFormat="1" ht="17.100000000000001" customHeight="1" x14ac:dyDescent="0.25">
      <c r="A82" s="396"/>
      <c r="B82" s="383"/>
      <c r="C82" s="375"/>
      <c r="D82" s="375"/>
      <c r="E82" s="375"/>
      <c r="F82" s="375"/>
      <c r="G82" s="375"/>
      <c r="H82" s="375"/>
      <c r="I82" s="383"/>
      <c r="J82" s="383"/>
      <c r="K82" s="385"/>
    </row>
    <row r="83" spans="1:11" s="70" customFormat="1" ht="17.100000000000001" customHeight="1" x14ac:dyDescent="0.25">
      <c r="A83" s="396"/>
      <c r="B83" s="383"/>
      <c r="C83" s="376"/>
      <c r="D83" s="376"/>
      <c r="E83" s="376"/>
      <c r="F83" s="376"/>
      <c r="G83" s="376"/>
      <c r="H83" s="376"/>
      <c r="I83" s="383"/>
      <c r="J83" s="383"/>
      <c r="K83" s="385"/>
    </row>
    <row r="84" spans="1:11" s="70" customFormat="1" ht="17.100000000000001" customHeight="1" x14ac:dyDescent="0.25">
      <c r="A84" s="396"/>
      <c r="B84" s="383"/>
      <c r="C84" s="376"/>
      <c r="D84" s="376"/>
      <c r="E84" s="376"/>
      <c r="F84" s="376"/>
      <c r="G84" s="376"/>
      <c r="H84" s="376"/>
      <c r="I84" s="383"/>
      <c r="J84" s="383"/>
      <c r="K84" s="385"/>
    </row>
    <row r="85" spans="1:11" s="70" customFormat="1" ht="17.100000000000001" customHeight="1" thickBot="1" x14ac:dyDescent="0.3">
      <c r="A85" s="400"/>
      <c r="B85" s="384"/>
      <c r="C85" s="377"/>
      <c r="D85" s="381"/>
      <c r="E85" s="381"/>
      <c r="F85" s="381"/>
      <c r="G85" s="381"/>
      <c r="H85" s="381"/>
      <c r="I85" s="384"/>
      <c r="J85" s="384"/>
      <c r="K85" s="385"/>
    </row>
    <row r="86" spans="1:11" s="70" customFormat="1" ht="17.100000000000001" customHeight="1" thickBot="1" x14ac:dyDescent="0.3">
      <c r="A86" s="201"/>
      <c r="B86" s="201"/>
      <c r="C86" s="201"/>
      <c r="D86" s="201"/>
    </row>
    <row r="87" spans="1:11" s="70" customFormat="1" ht="47.25" customHeight="1" thickBot="1" x14ac:dyDescent="0.3">
      <c r="A87" s="201"/>
      <c r="B87" s="201"/>
      <c r="C87" s="201"/>
      <c r="D87" s="201"/>
      <c r="G87" s="370"/>
      <c r="H87" s="371"/>
      <c r="I87" s="371"/>
      <c r="J87" s="371"/>
      <c r="K87" s="372"/>
    </row>
    <row r="88" spans="1:11" s="70" customFormat="1" ht="42.75" customHeight="1" thickBot="1" x14ac:dyDescent="0.55000000000000004">
      <c r="A88" s="201"/>
      <c r="B88" s="201"/>
      <c r="C88" s="201"/>
      <c r="D88" s="201"/>
      <c r="G88" s="325" t="str">
        <f>IF(Sprache="English","date:",IF(Sprache="Deutsch","Datum:",""))</f>
        <v>Datum:</v>
      </c>
      <c r="H88" s="345">
        <f>Infos!B6</f>
        <v>0</v>
      </c>
      <c r="I88" s="356" t="str">
        <f>IF(Sprache="English","issued by:",IF(Sprache="Deutsch","durchgeführt von:",""))</f>
        <v>durchgeführt von:</v>
      </c>
      <c r="J88" s="321">
        <f>Infos!D5</f>
        <v>0</v>
      </c>
      <c r="K88" s="322">
        <f>Infos!D6</f>
        <v>0</v>
      </c>
    </row>
    <row r="89" spans="1:11" s="70" customFormat="1" ht="45" customHeight="1" thickBot="1" x14ac:dyDescent="0.55000000000000004">
      <c r="A89" s="201"/>
      <c r="B89" s="201"/>
      <c r="C89" s="201"/>
      <c r="D89" s="201"/>
      <c r="G89" s="326"/>
      <c r="H89" s="326"/>
      <c r="I89" s="324" t="str">
        <f>IF(Sprache="English","signature supervisor",IF(Sprache="Deutsch","Visum Meister",""))</f>
        <v>Visum Meister</v>
      </c>
      <c r="J89" s="321"/>
      <c r="K89" s="322" t="s">
        <v>105</v>
      </c>
    </row>
    <row r="90" spans="1:11" s="70" customFormat="1" ht="15" customHeight="1" x14ac:dyDescent="0.25">
      <c r="A90" s="201"/>
      <c r="B90" s="201"/>
      <c r="C90" s="201"/>
      <c r="D90" s="201"/>
    </row>
    <row r="91" spans="1:11" s="70" customFormat="1" ht="6" customHeight="1" x14ac:dyDescent="0.25">
      <c r="A91" s="201"/>
      <c r="B91" s="261"/>
      <c r="C91" s="201"/>
      <c r="D91" s="201"/>
    </row>
    <row r="92" spans="1:11" s="70" customFormat="1" ht="16.5" hidden="1" customHeight="1" x14ac:dyDescent="0.25">
      <c r="A92" s="201"/>
      <c r="B92" s="261"/>
      <c r="C92" s="201"/>
      <c r="D92" s="201"/>
      <c r="H92" s="404"/>
      <c r="I92" s="404"/>
    </row>
    <row r="93" spans="1:11" s="70" customFormat="1" ht="11.25" customHeight="1" x14ac:dyDescent="0.25">
      <c r="A93" s="201"/>
      <c r="B93" s="261"/>
      <c r="C93" s="201"/>
      <c r="D93" s="201"/>
      <c r="H93" s="404"/>
      <c r="I93" s="404"/>
    </row>
    <row r="94" spans="1:11" s="70" customFormat="1" ht="16.5" hidden="1" customHeight="1" x14ac:dyDescent="0.25">
      <c r="A94" s="201"/>
      <c r="B94" s="261"/>
      <c r="C94" s="201"/>
      <c r="D94" s="201"/>
      <c r="H94" s="404"/>
      <c r="I94" s="404"/>
    </row>
    <row r="95" spans="1:11" s="70" customFormat="1" ht="3.75" customHeight="1" x14ac:dyDescent="0.25">
      <c r="A95" s="201"/>
      <c r="B95" s="261"/>
      <c r="C95" s="201"/>
      <c r="D95" s="201"/>
    </row>
    <row r="96" spans="1:11" s="70" customFormat="1" ht="16.5" hidden="1" customHeight="1" x14ac:dyDescent="0.25">
      <c r="A96" s="201"/>
      <c r="B96" s="261"/>
      <c r="C96" s="201"/>
      <c r="D96" s="201"/>
    </row>
    <row r="97" spans="1:4" s="70" customFormat="1" ht="3" customHeight="1" x14ac:dyDescent="0.25">
      <c r="A97" s="201"/>
      <c r="B97" s="261"/>
      <c r="C97" s="201"/>
      <c r="D97" s="201"/>
    </row>
    <row r="98" spans="1:4" s="70" customFormat="1" ht="6" customHeight="1" x14ac:dyDescent="0.25">
      <c r="A98" s="201"/>
      <c r="B98" s="261"/>
      <c r="C98" s="201"/>
      <c r="D98" s="201"/>
    </row>
    <row r="99" spans="1:4" s="70" customFormat="1" ht="5.25" customHeight="1" x14ac:dyDescent="0.25">
      <c r="A99" s="307"/>
      <c r="B99" s="308"/>
      <c r="C99" s="201"/>
      <c r="D99" s="201"/>
    </row>
    <row r="100" spans="1:4" s="70" customFormat="1" ht="17.100000000000001" customHeight="1" x14ac:dyDescent="0.25">
      <c r="A100" s="307" t="str">
        <f>IF(Sprache="English","problems &amp; measures 2",IF(Sprache="Deutsch","Probleme &amp; Massnahmen 2",""))</f>
        <v>Probleme &amp; Massnahmen 2</v>
      </c>
      <c r="B100" s="308" t="str">
        <f>A100</f>
        <v>Probleme &amp; Massnahmen 2</v>
      </c>
      <c r="C100" s="201"/>
      <c r="D100" s="201"/>
    </row>
    <row r="101" spans="1:4" s="70" customFormat="1" ht="17.100000000000001" customHeight="1" x14ac:dyDescent="0.25">
      <c r="A101" s="201"/>
      <c r="B101" s="261"/>
      <c r="C101" s="201"/>
      <c r="D101" s="201"/>
    </row>
    <row r="102" spans="1:4" s="70" customFormat="1" ht="17.100000000000001" customHeight="1" x14ac:dyDescent="0.25">
      <c r="A102" s="201"/>
      <c r="B102" s="261"/>
      <c r="C102" s="201"/>
      <c r="D102" s="201"/>
    </row>
    <row r="103" spans="1:4" s="70" customFormat="1" ht="17.100000000000001" customHeight="1" x14ac:dyDescent="0.25">
      <c r="A103" s="201"/>
      <c r="B103" s="201"/>
      <c r="C103" s="201"/>
      <c r="D103" s="201"/>
    </row>
    <row r="104" spans="1:4" s="70" customFormat="1" ht="17.100000000000001" customHeight="1" x14ac:dyDescent="0.25">
      <c r="A104" s="201"/>
      <c r="B104" s="201"/>
      <c r="C104" s="201"/>
      <c r="D104" s="201"/>
    </row>
    <row r="105" spans="1:4" s="70" customFormat="1" ht="17.100000000000001" customHeight="1" x14ac:dyDescent="0.25">
      <c r="A105" s="201"/>
      <c r="B105" s="201"/>
      <c r="C105" s="201"/>
      <c r="D105" s="201"/>
    </row>
    <row r="106" spans="1:4" s="70" customFormat="1" ht="17.100000000000001" customHeight="1" x14ac:dyDescent="0.25">
      <c r="A106" s="201"/>
      <c r="B106" s="201"/>
      <c r="C106" s="201"/>
      <c r="D106" s="201"/>
    </row>
    <row r="107" spans="1:4" s="70" customFormat="1" ht="17.100000000000001" customHeight="1" x14ac:dyDescent="0.25">
      <c r="A107" s="201"/>
      <c r="B107" s="201"/>
      <c r="C107" s="201"/>
      <c r="D107" s="201"/>
    </row>
    <row r="108" spans="1:4" s="70" customFormat="1" ht="17.100000000000001" customHeight="1" x14ac:dyDescent="0.25">
      <c r="A108" s="201"/>
      <c r="B108" s="201"/>
      <c r="C108" s="201"/>
      <c r="D108" s="201"/>
    </row>
    <row r="109" spans="1:4" s="70" customFormat="1" ht="17.100000000000001" customHeight="1" x14ac:dyDescent="0.25">
      <c r="A109" s="201"/>
      <c r="B109" s="201"/>
      <c r="C109" s="201"/>
      <c r="D109" s="201"/>
    </row>
    <row r="110" spans="1:4" s="70" customFormat="1" ht="17.100000000000001" customHeight="1" x14ac:dyDescent="0.25">
      <c r="A110" s="201"/>
      <c r="B110" s="201"/>
      <c r="C110" s="201"/>
      <c r="D110" s="201"/>
    </row>
    <row r="111" spans="1:4" s="70" customFormat="1" ht="17.100000000000001" customHeight="1" x14ac:dyDescent="0.25">
      <c r="A111" s="201"/>
      <c r="B111" s="201"/>
      <c r="C111" s="201"/>
      <c r="D111" s="201"/>
    </row>
    <row r="112" spans="1:4" s="70" customFormat="1" ht="17.100000000000001" customHeight="1" x14ac:dyDescent="0.25">
      <c r="A112" s="201"/>
      <c r="B112" s="201"/>
      <c r="C112" s="201"/>
      <c r="D112" s="201"/>
    </row>
    <row r="113" spans="1:19" s="70" customFormat="1" ht="17.100000000000001" customHeight="1" x14ac:dyDescent="0.25">
      <c r="A113" s="201"/>
      <c r="B113" s="201"/>
      <c r="C113" s="201"/>
      <c r="D113" s="201"/>
    </row>
    <row r="114" spans="1:19" s="70" customFormat="1" ht="17.100000000000001" customHeight="1" x14ac:dyDescent="0.25">
      <c r="A114" s="201"/>
      <c r="B114" s="201"/>
      <c r="C114" s="201"/>
      <c r="D114" s="201"/>
    </row>
    <row r="115" spans="1:19" s="70" customFormat="1" ht="17.100000000000001" customHeight="1" x14ac:dyDescent="0.25">
      <c r="A115" s="201"/>
      <c r="B115" s="201"/>
      <c r="C115" s="201"/>
      <c r="D115" s="201"/>
    </row>
    <row r="116" spans="1:19" s="70" customFormat="1" ht="17.100000000000001" customHeight="1" x14ac:dyDescent="0.25">
      <c r="A116" s="201"/>
      <c r="B116" s="201"/>
      <c r="C116" s="201"/>
      <c r="D116" s="201"/>
    </row>
    <row r="117" spans="1:19" s="70" customFormat="1" ht="17.100000000000001" customHeight="1" x14ac:dyDescent="0.25">
      <c r="A117" s="201"/>
      <c r="B117" s="201"/>
      <c r="C117" s="201"/>
      <c r="D117" s="201"/>
    </row>
    <row r="118" spans="1:19" s="70" customFormat="1" ht="17.100000000000001" customHeight="1" x14ac:dyDescent="0.25">
      <c r="A118" s="201"/>
      <c r="B118" s="201"/>
      <c r="C118" s="201"/>
      <c r="D118" s="201"/>
    </row>
    <row r="119" spans="1:19" s="70" customFormat="1" ht="22.8" x14ac:dyDescent="0.25">
      <c r="A119" s="201"/>
      <c r="B119" s="201"/>
      <c r="C119" s="201"/>
      <c r="D119" s="201"/>
      <c r="S119" s="262"/>
    </row>
    <row r="120" spans="1:19" s="70" customFormat="1" ht="17.100000000000001" customHeight="1" x14ac:dyDescent="0.25">
      <c r="A120" s="201"/>
      <c r="B120" s="201"/>
      <c r="C120" s="201"/>
      <c r="D120" s="201"/>
      <c r="S120" s="262"/>
    </row>
    <row r="121" spans="1:19" s="70" customFormat="1" ht="17.100000000000001" customHeight="1" x14ac:dyDescent="0.25">
      <c r="A121" s="201"/>
      <c r="B121" s="201"/>
      <c r="C121" s="201"/>
      <c r="D121" s="201"/>
      <c r="S121" s="262"/>
    </row>
    <row r="122" spans="1:19" s="70" customFormat="1" ht="17.100000000000001" customHeight="1" x14ac:dyDescent="0.25">
      <c r="A122" s="201"/>
      <c r="B122" s="201"/>
      <c r="C122" s="201"/>
      <c r="D122" s="201"/>
      <c r="S122" s="262"/>
    </row>
    <row r="123" spans="1:19" s="70" customFormat="1" ht="17.100000000000001" customHeight="1" x14ac:dyDescent="0.25">
      <c r="A123" s="201"/>
      <c r="B123" s="201"/>
      <c r="C123" s="201"/>
      <c r="D123" s="201"/>
      <c r="S123" s="262"/>
    </row>
    <row r="124" spans="1:19" s="70" customFormat="1" ht="17.100000000000001" customHeight="1" x14ac:dyDescent="0.25">
      <c r="A124" s="201"/>
      <c r="B124" s="201"/>
      <c r="C124" s="201"/>
      <c r="D124" s="201"/>
      <c r="S124" s="262"/>
    </row>
    <row r="125" spans="1:19" s="70" customFormat="1" ht="17.100000000000001" customHeight="1" x14ac:dyDescent="0.25">
      <c r="A125" s="201"/>
      <c r="B125" s="201"/>
      <c r="C125" s="201"/>
      <c r="D125" s="201"/>
      <c r="S125" s="262"/>
    </row>
    <row r="126" spans="1:19" s="70" customFormat="1" ht="17.100000000000001" customHeight="1" x14ac:dyDescent="0.25">
      <c r="A126" s="201"/>
      <c r="B126" s="201"/>
      <c r="C126" s="201"/>
      <c r="D126" s="201"/>
      <c r="S126" s="262"/>
    </row>
    <row r="127" spans="1:19" s="70" customFormat="1" ht="17.100000000000001" customHeight="1" x14ac:dyDescent="0.25">
      <c r="A127" s="201"/>
      <c r="B127" s="201"/>
      <c r="C127" s="201"/>
      <c r="D127" s="201"/>
      <c r="S127" s="262"/>
    </row>
    <row r="128" spans="1:19" s="70" customFormat="1" ht="17.100000000000001" customHeight="1" x14ac:dyDescent="0.25">
      <c r="A128" s="201"/>
      <c r="B128" s="201"/>
      <c r="C128" s="201"/>
      <c r="D128" s="201"/>
      <c r="S128" s="262"/>
    </row>
    <row r="129" spans="1:19" s="70" customFormat="1" ht="17.100000000000001" customHeight="1" x14ac:dyDescent="0.25">
      <c r="A129" s="201"/>
      <c r="B129" s="201"/>
      <c r="C129" s="201"/>
      <c r="D129" s="201"/>
      <c r="S129" s="262"/>
    </row>
    <row r="130" spans="1:19" s="70" customFormat="1" ht="17.100000000000001" customHeight="1" x14ac:dyDescent="0.25">
      <c r="A130" s="201"/>
      <c r="B130" s="201"/>
      <c r="C130" s="201"/>
      <c r="D130" s="201"/>
      <c r="S130" s="262"/>
    </row>
    <row r="131" spans="1:19" s="70" customFormat="1" ht="17.100000000000001" customHeight="1" x14ac:dyDescent="0.25">
      <c r="A131" s="201"/>
      <c r="B131" s="201"/>
      <c r="C131" s="201"/>
      <c r="D131" s="201"/>
    </row>
    <row r="132" spans="1:19" s="70" customFormat="1" ht="17.100000000000001" customHeight="1" x14ac:dyDescent="0.25">
      <c r="A132" s="201"/>
      <c r="B132" s="201"/>
      <c r="C132" s="201"/>
      <c r="D132" s="201"/>
    </row>
    <row r="133" spans="1:19" s="70" customFormat="1" ht="17.100000000000001" customHeight="1" x14ac:dyDescent="0.25">
      <c r="A133" s="201"/>
      <c r="B133" s="201"/>
      <c r="C133" s="201"/>
      <c r="D133" s="201"/>
    </row>
    <row r="134" spans="1:19" s="70" customFormat="1" ht="17.100000000000001" customHeight="1" x14ac:dyDescent="0.25">
      <c r="A134" s="201"/>
      <c r="B134" s="201"/>
      <c r="C134" s="201"/>
      <c r="D134" s="201"/>
    </row>
    <row r="135" spans="1:19" s="70" customFormat="1" ht="17.100000000000001" customHeight="1" x14ac:dyDescent="0.25">
      <c r="A135" s="201"/>
      <c r="B135" s="201"/>
      <c r="C135" s="201"/>
      <c r="D135" s="201"/>
    </row>
    <row r="136" spans="1:19" s="70" customFormat="1" ht="17.100000000000001" customHeight="1" x14ac:dyDescent="0.25">
      <c r="A136" s="201"/>
      <c r="B136" s="201"/>
      <c r="C136" s="201"/>
      <c r="D136" s="201"/>
    </row>
    <row r="137" spans="1:19" s="70" customFormat="1" ht="17.100000000000001" customHeight="1" x14ac:dyDescent="0.25">
      <c r="A137" s="201"/>
      <c r="B137" s="201"/>
      <c r="C137" s="201"/>
      <c r="D137" s="201"/>
    </row>
    <row r="138" spans="1:19" s="70" customFormat="1" ht="17.100000000000001" customHeight="1" x14ac:dyDescent="0.25">
      <c r="A138" s="201"/>
      <c r="B138" s="201"/>
      <c r="C138" s="201"/>
      <c r="D138" s="201"/>
    </row>
    <row r="139" spans="1:19" s="70" customFormat="1" ht="17.100000000000001" customHeight="1" x14ac:dyDescent="0.25">
      <c r="A139" s="201"/>
      <c r="B139" s="201"/>
      <c r="C139" s="201"/>
      <c r="D139" s="201"/>
    </row>
    <row r="140" spans="1:19" s="70" customFormat="1" ht="17.100000000000001" customHeight="1" x14ac:dyDescent="0.25">
      <c r="A140" s="201"/>
      <c r="B140" s="201"/>
      <c r="C140" s="201"/>
      <c r="D140" s="201"/>
    </row>
    <row r="141" spans="1:19" s="70" customFormat="1" ht="17.100000000000001" customHeight="1" x14ac:dyDescent="0.25">
      <c r="A141" s="201"/>
      <c r="B141" s="201"/>
      <c r="C141" s="201"/>
      <c r="D141" s="201"/>
    </row>
    <row r="142" spans="1:19" s="70" customFormat="1" ht="17.100000000000001" customHeight="1" x14ac:dyDescent="0.25">
      <c r="A142" s="201"/>
      <c r="B142" s="201"/>
      <c r="C142" s="201"/>
      <c r="D142" s="201"/>
    </row>
    <row r="143" spans="1:19" s="70" customFormat="1" ht="17.100000000000001" customHeight="1" x14ac:dyDescent="0.25">
      <c r="A143" s="201"/>
      <c r="B143" s="201"/>
      <c r="C143" s="201"/>
      <c r="D143" s="201"/>
    </row>
    <row r="144" spans="1:19" s="70" customFormat="1" ht="17.100000000000001" customHeight="1" x14ac:dyDescent="0.25">
      <c r="A144" s="201"/>
      <c r="B144" s="201"/>
      <c r="C144" s="201"/>
      <c r="D144" s="201"/>
    </row>
    <row r="145" spans="1:4" s="70" customFormat="1" ht="17.100000000000001" customHeight="1" x14ac:dyDescent="0.25">
      <c r="A145" s="201"/>
      <c r="B145" s="201"/>
      <c r="C145" s="201"/>
      <c r="D145" s="201"/>
    </row>
    <row r="146" spans="1:4" s="70" customFormat="1" ht="17.100000000000001" customHeight="1" x14ac:dyDescent="0.25">
      <c r="A146" s="201"/>
      <c r="B146" s="201"/>
      <c r="C146" s="201"/>
      <c r="D146" s="201"/>
    </row>
    <row r="147" spans="1:4" s="70" customFormat="1" ht="17.100000000000001" customHeight="1" x14ac:dyDescent="0.25">
      <c r="A147" s="201"/>
      <c r="B147" s="201"/>
      <c r="C147" s="201"/>
      <c r="D147" s="201"/>
    </row>
    <row r="148" spans="1:4" s="70" customFormat="1" ht="17.100000000000001" customHeight="1" x14ac:dyDescent="0.25">
      <c r="A148" s="201"/>
      <c r="B148" s="201"/>
      <c r="C148" s="201"/>
      <c r="D148" s="201"/>
    </row>
    <row r="149" spans="1:4" s="70" customFormat="1" ht="17.100000000000001" customHeight="1" x14ac:dyDescent="0.25">
      <c r="A149" s="201"/>
      <c r="B149" s="201"/>
      <c r="C149" s="201"/>
      <c r="D149" s="201"/>
    </row>
    <row r="150" spans="1:4" s="70" customFormat="1" ht="17.100000000000001" customHeight="1" x14ac:dyDescent="0.25">
      <c r="A150" s="201"/>
      <c r="B150" s="201"/>
      <c r="C150" s="201"/>
      <c r="D150" s="201"/>
    </row>
    <row r="151" spans="1:4" s="70" customFormat="1" ht="17.100000000000001" customHeight="1" x14ac:dyDescent="0.25">
      <c r="A151" s="201"/>
      <c r="B151" s="201"/>
      <c r="C151" s="201"/>
      <c r="D151" s="201"/>
    </row>
    <row r="152" spans="1:4" s="70" customFormat="1" ht="17.100000000000001" customHeight="1" x14ac:dyDescent="0.25">
      <c r="A152" s="201"/>
      <c r="B152" s="201"/>
      <c r="C152" s="201"/>
      <c r="D152" s="201"/>
    </row>
    <row r="153" spans="1:4" s="70" customFormat="1" ht="17.100000000000001" customHeight="1" x14ac:dyDescent="0.25">
      <c r="A153" s="201"/>
      <c r="B153" s="201"/>
      <c r="C153" s="201"/>
      <c r="D153" s="201"/>
    </row>
    <row r="154" spans="1:4" s="70" customFormat="1" ht="17.100000000000001" customHeight="1" x14ac:dyDescent="0.25">
      <c r="A154" s="201"/>
      <c r="B154" s="201"/>
      <c r="C154" s="201"/>
      <c r="D154" s="201"/>
    </row>
    <row r="155" spans="1:4" s="70" customFormat="1" ht="17.100000000000001" customHeight="1" x14ac:dyDescent="0.25">
      <c r="A155" s="201"/>
      <c r="B155" s="201"/>
      <c r="C155" s="201"/>
      <c r="D155" s="201"/>
    </row>
    <row r="156" spans="1:4" s="70" customFormat="1" ht="17.100000000000001" customHeight="1" x14ac:dyDescent="0.25">
      <c r="A156" s="201"/>
      <c r="B156" s="201"/>
      <c r="C156" s="201"/>
      <c r="D156" s="201"/>
    </row>
    <row r="157" spans="1:4" s="70" customFormat="1" ht="17.100000000000001" customHeight="1" x14ac:dyDescent="0.25">
      <c r="A157" s="201"/>
      <c r="B157" s="201"/>
      <c r="C157" s="201"/>
      <c r="D157" s="201"/>
    </row>
    <row r="158" spans="1:4" s="70" customFormat="1" ht="17.100000000000001" customHeight="1" x14ac:dyDescent="0.25">
      <c r="A158" s="201"/>
      <c r="B158" s="201"/>
      <c r="C158" s="201"/>
      <c r="D158" s="201"/>
    </row>
    <row r="159" spans="1:4" s="70" customFormat="1" ht="17.100000000000001" customHeight="1" x14ac:dyDescent="0.25">
      <c r="A159" s="201"/>
      <c r="B159" s="201"/>
      <c r="C159" s="201"/>
      <c r="D159" s="201"/>
    </row>
    <row r="160" spans="1:4" s="70" customFormat="1" ht="17.100000000000001" customHeight="1" x14ac:dyDescent="0.25">
      <c r="A160" s="201"/>
      <c r="B160" s="201"/>
      <c r="C160" s="201"/>
      <c r="D160" s="201"/>
    </row>
    <row r="161" spans="1:4" s="70" customFormat="1" ht="17.100000000000001" customHeight="1" x14ac:dyDescent="0.25">
      <c r="A161" s="201"/>
      <c r="B161" s="201"/>
      <c r="C161" s="201"/>
      <c r="D161" s="201"/>
    </row>
    <row r="162" spans="1:4" s="70" customFormat="1" ht="17.100000000000001" customHeight="1" x14ac:dyDescent="0.25">
      <c r="A162" s="201"/>
      <c r="B162" s="201"/>
      <c r="C162" s="201"/>
      <c r="D162" s="201"/>
    </row>
    <row r="163" spans="1:4" s="70" customFormat="1" ht="17.100000000000001" customHeight="1" x14ac:dyDescent="0.25">
      <c r="A163" s="201"/>
      <c r="B163" s="201"/>
      <c r="C163" s="201"/>
      <c r="D163" s="201"/>
    </row>
    <row r="164" spans="1:4" s="70" customFormat="1" ht="17.100000000000001" customHeight="1" x14ac:dyDescent="0.25">
      <c r="A164" s="201"/>
      <c r="B164" s="201"/>
      <c r="C164" s="201"/>
      <c r="D164" s="201"/>
    </row>
    <row r="165" spans="1:4" s="70" customFormat="1" ht="17.100000000000001" customHeight="1" x14ac:dyDescent="0.25">
      <c r="A165" s="201"/>
      <c r="B165" s="201"/>
      <c r="C165" s="201"/>
      <c r="D165" s="201"/>
    </row>
    <row r="166" spans="1:4" s="70" customFormat="1" ht="17.100000000000001" customHeight="1" x14ac:dyDescent="0.25">
      <c r="A166" s="201"/>
      <c r="B166" s="201"/>
      <c r="C166" s="201"/>
      <c r="D166" s="201"/>
    </row>
    <row r="167" spans="1:4" s="70" customFormat="1" ht="17.100000000000001" customHeight="1" x14ac:dyDescent="0.25">
      <c r="A167" s="201"/>
      <c r="B167" s="201"/>
      <c r="C167" s="201"/>
      <c r="D167" s="201"/>
    </row>
    <row r="168" spans="1:4" s="70" customFormat="1" ht="17.100000000000001" customHeight="1" x14ac:dyDescent="0.25">
      <c r="A168" s="201"/>
      <c r="B168" s="201"/>
      <c r="C168" s="201"/>
      <c r="D168" s="201"/>
    </row>
    <row r="169" spans="1:4" s="70" customFormat="1" ht="17.100000000000001" customHeight="1" x14ac:dyDescent="0.25">
      <c r="A169" s="201"/>
      <c r="B169" s="201"/>
      <c r="C169" s="201"/>
      <c r="D169" s="201"/>
    </row>
    <row r="170" spans="1:4" s="70" customFormat="1" ht="17.100000000000001" customHeight="1" x14ac:dyDescent="0.25">
      <c r="A170" s="201"/>
      <c r="B170" s="201"/>
      <c r="C170" s="201"/>
      <c r="D170" s="201"/>
    </row>
    <row r="171" spans="1:4" s="70" customFormat="1" ht="17.100000000000001" customHeight="1" x14ac:dyDescent="0.25">
      <c r="A171" s="201"/>
      <c r="B171" s="201"/>
      <c r="C171" s="201"/>
      <c r="D171" s="201"/>
    </row>
    <row r="172" spans="1:4" s="70" customFormat="1" ht="17.100000000000001" customHeight="1" x14ac:dyDescent="0.25">
      <c r="A172" s="201"/>
      <c r="B172" s="201"/>
      <c r="C172" s="201"/>
      <c r="D172" s="201"/>
    </row>
    <row r="173" spans="1:4" s="70" customFormat="1" ht="17.100000000000001" customHeight="1" x14ac:dyDescent="0.25">
      <c r="A173" s="201"/>
      <c r="B173" s="201"/>
      <c r="C173" s="201"/>
      <c r="D173" s="201"/>
    </row>
    <row r="174" spans="1:4" s="70" customFormat="1" ht="17.100000000000001" customHeight="1" x14ac:dyDescent="0.25">
      <c r="A174" s="201"/>
      <c r="B174" s="201"/>
      <c r="C174" s="201"/>
      <c r="D174" s="201"/>
    </row>
    <row r="175" spans="1:4" s="70" customFormat="1" ht="17.100000000000001" customHeight="1" x14ac:dyDescent="0.25">
      <c r="A175" s="201"/>
      <c r="B175" s="201"/>
      <c r="C175" s="201"/>
      <c r="D175" s="201"/>
    </row>
    <row r="176" spans="1:4" s="70" customFormat="1" ht="17.100000000000001" customHeight="1" x14ac:dyDescent="0.25">
      <c r="A176" s="201"/>
      <c r="B176" s="201"/>
      <c r="C176" s="201"/>
      <c r="D176" s="201"/>
    </row>
    <row r="177" spans="1:4" s="70" customFormat="1" ht="17.100000000000001" customHeight="1" x14ac:dyDescent="0.25">
      <c r="A177" s="201"/>
      <c r="B177" s="201"/>
      <c r="C177" s="201"/>
      <c r="D177" s="201"/>
    </row>
    <row r="178" spans="1:4" s="70" customFormat="1" ht="17.100000000000001" customHeight="1" x14ac:dyDescent="0.25">
      <c r="A178" s="201"/>
      <c r="B178" s="201"/>
      <c r="C178" s="201"/>
      <c r="D178" s="201"/>
    </row>
    <row r="179" spans="1:4" s="70" customFormat="1" ht="17.100000000000001" customHeight="1" x14ac:dyDescent="0.25">
      <c r="A179" s="201"/>
      <c r="B179" s="201"/>
      <c r="C179" s="201"/>
      <c r="D179" s="201"/>
    </row>
    <row r="180" spans="1:4" s="63" customFormat="1" ht="17.100000000000001" customHeight="1" x14ac:dyDescent="0.25">
      <c r="A180" s="64"/>
      <c r="B180" s="64"/>
      <c r="C180" s="64"/>
      <c r="D180" s="64"/>
    </row>
    <row r="181" spans="1:4" s="63" customFormat="1" ht="17.100000000000001" customHeight="1" x14ac:dyDescent="0.25">
      <c r="A181" s="64"/>
      <c r="B181" s="64"/>
      <c r="C181" s="64"/>
      <c r="D181" s="64"/>
    </row>
    <row r="182" spans="1:4" s="63" customFormat="1" ht="17.100000000000001" customHeight="1" x14ac:dyDescent="0.25">
      <c r="A182" s="64"/>
      <c r="B182" s="64"/>
      <c r="C182" s="64"/>
      <c r="D182" s="64"/>
    </row>
    <row r="183" spans="1:4" s="63" customFormat="1" ht="17.100000000000001" customHeight="1" x14ac:dyDescent="0.25">
      <c r="A183" s="64"/>
      <c r="B183" s="64"/>
      <c r="C183" s="64"/>
      <c r="D183" s="64"/>
    </row>
    <row r="184" spans="1:4" s="63" customFormat="1" ht="17.100000000000001" customHeight="1" x14ac:dyDescent="0.25">
      <c r="A184" s="64"/>
      <c r="B184" s="64"/>
      <c r="C184" s="64"/>
      <c r="D184" s="64"/>
    </row>
    <row r="185" spans="1:4" s="63" customFormat="1" ht="17.100000000000001" customHeight="1" x14ac:dyDescent="0.25">
      <c r="A185" s="64"/>
      <c r="B185" s="64"/>
      <c r="C185" s="64"/>
      <c r="D185" s="64"/>
    </row>
    <row r="186" spans="1:4" s="63" customFormat="1" ht="17.100000000000001" customHeight="1" x14ac:dyDescent="0.25">
      <c r="A186" s="64"/>
      <c r="B186" s="64"/>
      <c r="C186" s="64"/>
      <c r="D186" s="64"/>
    </row>
    <row r="187" spans="1:4" s="63" customFormat="1" ht="17.100000000000001" customHeight="1" x14ac:dyDescent="0.25">
      <c r="A187" s="64"/>
      <c r="B187" s="64"/>
      <c r="C187" s="64"/>
      <c r="D187" s="64"/>
    </row>
    <row r="188" spans="1:4" s="63" customFormat="1" ht="17.100000000000001" customHeight="1" x14ac:dyDescent="0.25">
      <c r="A188" s="64"/>
      <c r="B188" s="64"/>
      <c r="C188" s="64"/>
      <c r="D188" s="64"/>
    </row>
    <row r="189" spans="1:4" s="63" customFormat="1" ht="17.100000000000001" customHeight="1" x14ac:dyDescent="0.25">
      <c r="A189" s="64"/>
      <c r="B189" s="64"/>
      <c r="C189" s="64"/>
      <c r="D189" s="64"/>
    </row>
    <row r="190" spans="1:4" s="63" customFormat="1" ht="17.100000000000001" customHeight="1" x14ac:dyDescent="0.25">
      <c r="A190" s="64"/>
      <c r="B190" s="64"/>
      <c r="C190" s="64"/>
      <c r="D190" s="64"/>
    </row>
    <row r="191" spans="1:4" s="63" customFormat="1" ht="17.100000000000001" customHeight="1" x14ac:dyDescent="0.25">
      <c r="A191" s="64"/>
      <c r="B191" s="64"/>
      <c r="C191" s="64"/>
      <c r="D191" s="64"/>
    </row>
    <row r="192" spans="1:4" s="63" customFormat="1" ht="17.100000000000001" customHeight="1" x14ac:dyDescent="0.25">
      <c r="A192" s="64"/>
      <c r="B192" s="64"/>
      <c r="C192" s="64"/>
      <c r="D192" s="64"/>
    </row>
    <row r="193" spans="1:4" s="63" customFormat="1" ht="17.100000000000001" customHeight="1" x14ac:dyDescent="0.25">
      <c r="A193" s="64"/>
      <c r="B193" s="64"/>
      <c r="C193" s="64"/>
      <c r="D193" s="64"/>
    </row>
    <row r="194" spans="1:4" s="63" customFormat="1" ht="17.100000000000001" customHeight="1" x14ac:dyDescent="0.25">
      <c r="A194" s="64"/>
      <c r="B194" s="64"/>
      <c r="C194" s="64"/>
      <c r="D194" s="64"/>
    </row>
    <row r="195" spans="1:4" s="63" customFormat="1" ht="17.100000000000001" customHeight="1" x14ac:dyDescent="0.25">
      <c r="A195" s="64"/>
      <c r="B195" s="64"/>
      <c r="C195" s="64"/>
      <c r="D195" s="64"/>
    </row>
    <row r="196" spans="1:4" s="63" customFormat="1" ht="17.100000000000001" customHeight="1" x14ac:dyDescent="0.25">
      <c r="A196" s="64"/>
      <c r="B196" s="64"/>
      <c r="C196" s="64"/>
      <c r="D196" s="64"/>
    </row>
    <row r="197" spans="1:4" s="63" customFormat="1" ht="17.100000000000001" customHeight="1" x14ac:dyDescent="0.25">
      <c r="A197" s="64"/>
      <c r="B197" s="64"/>
      <c r="C197" s="64"/>
      <c r="D197" s="64"/>
    </row>
    <row r="198" spans="1:4" s="63" customFormat="1" ht="17.100000000000001" customHeight="1" x14ac:dyDescent="0.25">
      <c r="A198" s="64"/>
      <c r="B198" s="64"/>
      <c r="C198" s="64"/>
      <c r="D198" s="64"/>
    </row>
    <row r="199" spans="1:4" s="63" customFormat="1" ht="17.100000000000001" customHeight="1" x14ac:dyDescent="0.25">
      <c r="A199" s="64"/>
      <c r="B199" s="64"/>
      <c r="C199" s="64"/>
      <c r="D199" s="64"/>
    </row>
    <row r="200" spans="1:4" s="63" customFormat="1" ht="17.100000000000001" customHeight="1" x14ac:dyDescent="0.25">
      <c r="A200" s="64"/>
      <c r="B200" s="64"/>
      <c r="C200" s="64"/>
      <c r="D200" s="64"/>
    </row>
    <row r="201" spans="1:4" s="63" customFormat="1" ht="17.100000000000001" customHeight="1" x14ac:dyDescent="0.25">
      <c r="A201" s="64"/>
      <c r="B201" s="64"/>
      <c r="C201" s="64"/>
      <c r="D201" s="64"/>
    </row>
    <row r="202" spans="1:4" s="63" customFormat="1" ht="17.100000000000001" customHeight="1" x14ac:dyDescent="0.25">
      <c r="A202" s="64"/>
      <c r="B202" s="64"/>
      <c r="C202" s="64"/>
      <c r="D202" s="64"/>
    </row>
    <row r="203" spans="1:4" s="63" customFormat="1" ht="17.100000000000001" customHeight="1" x14ac:dyDescent="0.25">
      <c r="A203" s="64"/>
      <c r="B203" s="64"/>
      <c r="C203" s="64"/>
      <c r="D203" s="64"/>
    </row>
    <row r="204" spans="1:4" s="63" customFormat="1" ht="17.100000000000001" customHeight="1" x14ac:dyDescent="0.25">
      <c r="A204" s="64"/>
      <c r="B204" s="64"/>
      <c r="C204" s="64"/>
      <c r="D204" s="64"/>
    </row>
    <row r="205" spans="1:4" s="63" customFormat="1" ht="17.100000000000001" customHeight="1" x14ac:dyDescent="0.25">
      <c r="A205" s="64"/>
      <c r="B205" s="64"/>
      <c r="C205" s="64"/>
      <c r="D205" s="64"/>
    </row>
    <row r="206" spans="1:4" s="63" customFormat="1" ht="17.100000000000001" customHeight="1" x14ac:dyDescent="0.25">
      <c r="A206" s="64"/>
      <c r="B206" s="64"/>
      <c r="C206" s="64"/>
      <c r="D206" s="64"/>
    </row>
    <row r="207" spans="1:4" s="63" customFormat="1" ht="17.100000000000001" customHeight="1" x14ac:dyDescent="0.25">
      <c r="A207" s="64"/>
      <c r="B207" s="64"/>
      <c r="C207" s="64"/>
      <c r="D207" s="64"/>
    </row>
    <row r="208" spans="1:4" s="63" customFormat="1" ht="17.100000000000001" customHeight="1" x14ac:dyDescent="0.25">
      <c r="A208" s="64"/>
      <c r="B208" s="64"/>
      <c r="C208" s="64"/>
      <c r="D208" s="64"/>
    </row>
    <row r="209" spans="1:4" s="63" customFormat="1" ht="17.100000000000001" customHeight="1" x14ac:dyDescent="0.25">
      <c r="A209" s="64"/>
      <c r="B209" s="64"/>
      <c r="C209" s="64"/>
      <c r="D209" s="64"/>
    </row>
    <row r="210" spans="1:4" s="63" customFormat="1" ht="17.100000000000001" customHeight="1" x14ac:dyDescent="0.25">
      <c r="A210" s="64"/>
      <c r="B210" s="64"/>
      <c r="C210" s="64"/>
      <c r="D210" s="64"/>
    </row>
    <row r="211" spans="1:4" s="63" customFormat="1" ht="17.100000000000001" customHeight="1" x14ac:dyDescent="0.25">
      <c r="A211" s="64"/>
      <c r="B211" s="64"/>
      <c r="C211" s="64"/>
      <c r="D211" s="64"/>
    </row>
    <row r="212" spans="1:4" s="63" customFormat="1" ht="17.100000000000001" customHeight="1" x14ac:dyDescent="0.25">
      <c r="A212" s="64"/>
      <c r="B212" s="64"/>
      <c r="C212" s="64"/>
      <c r="D212" s="64"/>
    </row>
    <row r="213" spans="1:4" s="63" customFormat="1" ht="17.100000000000001" customHeight="1" x14ac:dyDescent="0.25">
      <c r="A213" s="64"/>
      <c r="B213" s="64"/>
      <c r="C213" s="64"/>
      <c r="D213" s="64"/>
    </row>
    <row r="214" spans="1:4" s="63" customFormat="1" ht="17.100000000000001" customHeight="1" x14ac:dyDescent="0.25">
      <c r="A214" s="64"/>
      <c r="B214" s="64"/>
      <c r="C214" s="64"/>
      <c r="D214" s="64"/>
    </row>
    <row r="215" spans="1:4" s="63" customFormat="1" ht="17.100000000000001" customHeight="1" x14ac:dyDescent="0.25">
      <c r="A215" s="64"/>
      <c r="B215" s="64"/>
      <c r="C215" s="64"/>
      <c r="D215" s="64"/>
    </row>
    <row r="216" spans="1:4" s="63" customFormat="1" ht="17.100000000000001" customHeight="1" x14ac:dyDescent="0.25">
      <c r="A216" s="64"/>
      <c r="B216" s="64"/>
      <c r="C216" s="64"/>
      <c r="D216" s="64"/>
    </row>
    <row r="217" spans="1:4" s="63" customFormat="1" ht="17.100000000000001" customHeight="1" x14ac:dyDescent="0.25">
      <c r="A217" s="64"/>
      <c r="B217" s="64"/>
      <c r="C217" s="64"/>
      <c r="D217" s="64"/>
    </row>
    <row r="218" spans="1:4" s="63" customFormat="1" ht="17.100000000000001" customHeight="1" x14ac:dyDescent="0.25">
      <c r="A218" s="64"/>
      <c r="B218" s="64"/>
      <c r="C218" s="64"/>
      <c r="D218" s="64"/>
    </row>
    <row r="219" spans="1:4" s="63" customFormat="1" ht="17.100000000000001" customHeight="1" x14ac:dyDescent="0.25">
      <c r="A219" s="64"/>
      <c r="B219" s="64"/>
      <c r="C219" s="64"/>
      <c r="D219" s="64"/>
    </row>
    <row r="220" spans="1:4" s="63" customFormat="1" ht="17.100000000000001" customHeight="1" x14ac:dyDescent="0.25">
      <c r="A220" s="64"/>
      <c r="B220" s="64"/>
      <c r="C220" s="64"/>
      <c r="D220" s="64"/>
    </row>
    <row r="221" spans="1:4" s="63" customFormat="1" ht="17.100000000000001" customHeight="1" x14ac:dyDescent="0.25">
      <c r="A221" s="64"/>
      <c r="B221" s="64"/>
      <c r="C221" s="64"/>
      <c r="D221" s="64"/>
    </row>
    <row r="222" spans="1:4" s="63" customFormat="1" ht="17.100000000000001" customHeight="1" x14ac:dyDescent="0.25">
      <c r="A222" s="64"/>
      <c r="B222" s="64"/>
      <c r="C222" s="64"/>
      <c r="D222" s="64"/>
    </row>
    <row r="223" spans="1:4" s="63" customFormat="1" ht="17.100000000000001" customHeight="1" x14ac:dyDescent="0.25">
      <c r="A223" s="64"/>
      <c r="B223" s="64"/>
      <c r="C223" s="64"/>
      <c r="D223" s="64"/>
    </row>
    <row r="224" spans="1:4" s="63" customFormat="1" ht="17.100000000000001" customHeight="1" x14ac:dyDescent="0.25">
      <c r="A224" s="64"/>
      <c r="B224" s="64"/>
      <c r="C224" s="64"/>
      <c r="D224" s="64"/>
    </row>
    <row r="225" spans="1:4" s="63" customFormat="1" ht="17.100000000000001" customHeight="1" x14ac:dyDescent="0.25">
      <c r="A225" s="64"/>
      <c r="B225" s="64"/>
      <c r="C225" s="64"/>
      <c r="D225" s="64"/>
    </row>
    <row r="226" spans="1:4" s="63" customFormat="1" ht="17.100000000000001" customHeight="1" x14ac:dyDescent="0.25">
      <c r="A226" s="64"/>
      <c r="B226" s="64"/>
      <c r="C226" s="64"/>
      <c r="D226" s="64"/>
    </row>
    <row r="227" spans="1:4" s="63" customFormat="1" ht="17.100000000000001" customHeight="1" x14ac:dyDescent="0.25">
      <c r="A227" s="64"/>
      <c r="B227" s="64"/>
      <c r="C227" s="64"/>
      <c r="D227" s="64"/>
    </row>
    <row r="228" spans="1:4" s="63" customFormat="1" ht="17.100000000000001" customHeight="1" x14ac:dyDescent="0.25">
      <c r="A228" s="64"/>
      <c r="B228" s="64"/>
      <c r="C228" s="64"/>
      <c r="D228" s="64"/>
    </row>
    <row r="229" spans="1:4" s="63" customFormat="1" ht="17.100000000000001" customHeight="1" x14ac:dyDescent="0.25">
      <c r="A229" s="64"/>
      <c r="B229" s="64"/>
      <c r="C229" s="64"/>
      <c r="D229" s="64"/>
    </row>
    <row r="230" spans="1:4" s="63" customFormat="1" ht="17.100000000000001" customHeight="1" x14ac:dyDescent="0.25">
      <c r="A230" s="64"/>
      <c r="B230" s="64"/>
      <c r="C230" s="64"/>
      <c r="D230" s="64"/>
    </row>
    <row r="231" spans="1:4" s="63" customFormat="1" ht="15" x14ac:dyDescent="0.25">
      <c r="A231" s="64"/>
      <c r="C231" s="64"/>
      <c r="D231" s="64"/>
    </row>
    <row r="232" spans="1:4" s="63" customFormat="1" ht="17.100000000000001" customHeight="1" x14ac:dyDescent="0.25">
      <c r="A232" s="64"/>
      <c r="B232" s="64"/>
      <c r="C232" s="64"/>
      <c r="D232" s="64"/>
    </row>
    <row r="233" spans="1:4" s="63" customFormat="1" ht="17.100000000000001" customHeight="1" x14ac:dyDescent="0.25">
      <c r="A233" s="64"/>
      <c r="B233" s="64"/>
      <c r="C233" s="64"/>
      <c r="D233" s="64"/>
    </row>
    <row r="234" spans="1:4" s="63" customFormat="1" ht="17.100000000000001" customHeight="1" x14ac:dyDescent="0.25">
      <c r="A234" s="64"/>
      <c r="B234" s="64"/>
      <c r="C234" s="64"/>
      <c r="D234" s="64"/>
    </row>
    <row r="235" spans="1:4" s="63" customFormat="1" ht="17.100000000000001" customHeight="1" x14ac:dyDescent="0.25">
      <c r="A235" s="64"/>
      <c r="B235" s="64"/>
      <c r="C235" s="64"/>
      <c r="D235" s="64"/>
    </row>
    <row r="236" spans="1:4" s="63" customFormat="1" ht="17.100000000000001" customHeight="1" x14ac:dyDescent="0.25">
      <c r="A236" s="64"/>
      <c r="B236" s="64"/>
      <c r="C236" s="64"/>
      <c r="D236" s="64"/>
    </row>
    <row r="237" spans="1:4" s="63" customFormat="1" ht="17.100000000000001" customHeight="1" x14ac:dyDescent="0.25">
      <c r="A237" s="64"/>
      <c r="B237" s="64"/>
      <c r="C237" s="64"/>
      <c r="D237" s="64"/>
    </row>
    <row r="238" spans="1:4" s="63" customFormat="1" ht="17.100000000000001" customHeight="1" x14ac:dyDescent="0.25">
      <c r="A238" s="64"/>
      <c r="B238" s="64"/>
      <c r="C238" s="64"/>
      <c r="D238" s="64"/>
    </row>
    <row r="239" spans="1:4" s="63" customFormat="1" ht="17.100000000000001" customHeight="1" x14ac:dyDescent="0.25">
      <c r="A239" s="64"/>
      <c r="B239" s="64"/>
      <c r="C239" s="64"/>
      <c r="D239" s="64"/>
    </row>
    <row r="240" spans="1:4" s="63" customFormat="1" ht="17.100000000000001" customHeight="1" x14ac:dyDescent="0.25">
      <c r="A240" s="64"/>
      <c r="B240" s="64"/>
      <c r="C240" s="64"/>
      <c r="D240" s="64"/>
    </row>
    <row r="241" spans="1:4" s="63" customFormat="1" ht="17.100000000000001" customHeight="1" x14ac:dyDescent="0.25">
      <c r="A241" s="64"/>
      <c r="B241" s="64"/>
      <c r="C241" s="64"/>
      <c r="D241" s="64"/>
    </row>
    <row r="242" spans="1:4" s="63" customFormat="1" ht="17.100000000000001" customHeight="1" x14ac:dyDescent="0.25">
      <c r="A242" s="64"/>
      <c r="B242" s="64"/>
      <c r="C242" s="64"/>
      <c r="D242" s="64"/>
    </row>
    <row r="243" spans="1:4" s="63" customFormat="1" ht="17.100000000000001" customHeight="1" x14ac:dyDescent="0.25">
      <c r="A243" s="64"/>
      <c r="B243" s="64"/>
      <c r="C243" s="64"/>
      <c r="D243" s="64"/>
    </row>
    <row r="244" spans="1:4" s="63" customFormat="1" ht="17.100000000000001" customHeight="1" x14ac:dyDescent="0.25">
      <c r="A244" s="64"/>
      <c r="B244" s="64"/>
      <c r="C244" s="64"/>
      <c r="D244" s="64"/>
    </row>
    <row r="245" spans="1:4" s="63" customFormat="1" ht="17.100000000000001" customHeight="1" x14ac:dyDescent="0.25">
      <c r="A245" s="64"/>
      <c r="B245" s="64"/>
      <c r="C245" s="64"/>
      <c r="D245" s="64"/>
    </row>
    <row r="246" spans="1:4" s="63" customFormat="1" ht="17.100000000000001" customHeight="1" x14ac:dyDescent="0.25">
      <c r="A246" s="64"/>
      <c r="B246" s="64"/>
      <c r="C246" s="64"/>
      <c r="D246" s="64"/>
    </row>
    <row r="247" spans="1:4" s="63" customFormat="1" ht="17.100000000000001" customHeight="1" x14ac:dyDescent="0.25">
      <c r="A247" s="64"/>
      <c r="B247" s="64"/>
      <c r="C247" s="64"/>
      <c r="D247" s="64"/>
    </row>
    <row r="248" spans="1:4" s="63" customFormat="1" ht="17.100000000000001" customHeight="1" x14ac:dyDescent="0.25">
      <c r="A248" s="64"/>
      <c r="B248" s="64"/>
      <c r="C248" s="64"/>
      <c r="D248" s="64"/>
    </row>
    <row r="249" spans="1:4" s="63" customFormat="1" ht="17.100000000000001" customHeight="1" x14ac:dyDescent="0.25">
      <c r="A249" s="64"/>
      <c r="B249" s="64"/>
      <c r="C249" s="64"/>
      <c r="D249" s="64"/>
    </row>
    <row r="250" spans="1:4" s="63" customFormat="1" ht="17.100000000000001" customHeight="1" x14ac:dyDescent="0.25">
      <c r="A250" s="64"/>
      <c r="B250" s="64"/>
      <c r="C250" s="64"/>
      <c r="D250" s="64"/>
    </row>
    <row r="251" spans="1:4" s="63" customFormat="1" ht="17.100000000000001" customHeight="1" x14ac:dyDescent="0.25">
      <c r="A251" s="64"/>
      <c r="B251" s="64"/>
      <c r="C251" s="64"/>
      <c r="D251" s="64"/>
    </row>
    <row r="252" spans="1:4" s="63" customFormat="1" ht="17.100000000000001" customHeight="1" x14ac:dyDescent="0.25">
      <c r="A252" s="64"/>
      <c r="B252" s="64"/>
      <c r="C252" s="64"/>
      <c r="D252" s="64"/>
    </row>
    <row r="253" spans="1:4" s="63" customFormat="1" ht="17.100000000000001" customHeight="1" x14ac:dyDescent="0.25">
      <c r="A253" s="64"/>
      <c r="B253" s="64"/>
      <c r="C253" s="64"/>
      <c r="D253" s="64"/>
    </row>
    <row r="254" spans="1:4" s="63" customFormat="1" ht="17.100000000000001" customHeight="1" x14ac:dyDescent="0.25">
      <c r="A254" s="64"/>
      <c r="B254" s="64"/>
      <c r="C254" s="64"/>
      <c r="D254" s="64"/>
    </row>
    <row r="255" spans="1:4" s="63" customFormat="1" ht="17.100000000000001" customHeight="1" x14ac:dyDescent="0.25">
      <c r="A255" s="64"/>
      <c r="B255" s="64"/>
      <c r="C255" s="64"/>
      <c r="D255" s="64"/>
    </row>
    <row r="256" spans="1:4" s="63" customFormat="1" ht="17.100000000000001" customHeight="1" x14ac:dyDescent="0.25">
      <c r="A256" s="64"/>
      <c r="B256" s="64"/>
      <c r="C256" s="64"/>
      <c r="D256" s="64"/>
    </row>
    <row r="257" spans="1:4" s="63" customFormat="1" ht="17.100000000000001" customHeight="1" x14ac:dyDescent="0.25">
      <c r="A257" s="64"/>
      <c r="B257" s="64"/>
      <c r="C257" s="64"/>
      <c r="D257" s="64"/>
    </row>
    <row r="258" spans="1:4" s="63" customFormat="1" ht="17.100000000000001" customHeight="1" x14ac:dyDescent="0.25">
      <c r="A258" s="64"/>
      <c r="B258" s="64"/>
      <c r="C258" s="64"/>
      <c r="D258" s="64"/>
    </row>
    <row r="259" spans="1:4" s="63" customFormat="1" ht="17.100000000000001" customHeight="1" x14ac:dyDescent="0.25">
      <c r="A259" s="64"/>
      <c r="B259" s="64"/>
      <c r="C259" s="64"/>
      <c r="D259" s="64"/>
    </row>
    <row r="260" spans="1:4" s="63" customFormat="1" ht="17.100000000000001" customHeight="1" x14ac:dyDescent="0.25">
      <c r="A260" s="64"/>
      <c r="B260" s="64"/>
      <c r="C260" s="64"/>
      <c r="D260" s="64"/>
    </row>
    <row r="261" spans="1:4" s="63" customFormat="1" ht="17.100000000000001" customHeight="1" x14ac:dyDescent="0.25">
      <c r="A261" s="64"/>
      <c r="B261" s="64"/>
      <c r="C261" s="64"/>
      <c r="D261" s="64"/>
    </row>
    <row r="262" spans="1:4" s="63" customFormat="1" ht="17.100000000000001" customHeight="1" x14ac:dyDescent="0.25">
      <c r="A262" s="64"/>
      <c r="B262" s="64"/>
      <c r="C262" s="64"/>
      <c r="D262" s="64"/>
    </row>
    <row r="263" spans="1:4" s="63" customFormat="1" ht="17.100000000000001" customHeight="1" x14ac:dyDescent="0.25">
      <c r="A263" s="64"/>
      <c r="B263" s="64"/>
      <c r="C263" s="64"/>
      <c r="D263" s="64"/>
    </row>
    <row r="264" spans="1:4" s="63" customFormat="1" ht="17.100000000000001" customHeight="1" x14ac:dyDescent="0.25">
      <c r="A264" s="64"/>
      <c r="B264" s="64"/>
      <c r="C264" s="64"/>
      <c r="D264" s="64"/>
    </row>
    <row r="265" spans="1:4" s="63" customFormat="1" ht="17.100000000000001" customHeight="1" x14ac:dyDescent="0.25">
      <c r="A265" s="64"/>
      <c r="B265" s="64"/>
      <c r="C265" s="64"/>
      <c r="D265" s="64"/>
    </row>
    <row r="266" spans="1:4" s="63" customFormat="1" ht="17.100000000000001" customHeight="1" x14ac:dyDescent="0.25">
      <c r="A266" s="64"/>
      <c r="B266" s="64"/>
      <c r="C266" s="64"/>
      <c r="D266" s="64"/>
    </row>
    <row r="267" spans="1:4" s="63" customFormat="1" ht="17.100000000000001" customHeight="1" x14ac:dyDescent="0.25">
      <c r="A267" s="64"/>
      <c r="B267" s="64"/>
      <c r="C267" s="64"/>
      <c r="D267" s="64"/>
    </row>
    <row r="268" spans="1:4" s="63" customFormat="1" ht="17.100000000000001" customHeight="1" x14ac:dyDescent="0.25">
      <c r="A268" s="64"/>
      <c r="B268" s="64"/>
      <c r="C268" s="64"/>
      <c r="D268" s="64"/>
    </row>
    <row r="269" spans="1:4" s="63" customFormat="1" ht="17.100000000000001" customHeight="1" x14ac:dyDescent="0.25">
      <c r="A269" s="64"/>
      <c r="B269" s="64"/>
      <c r="C269" s="64"/>
      <c r="D269" s="64"/>
    </row>
    <row r="270" spans="1:4" s="63" customFormat="1" ht="17.100000000000001" customHeight="1" x14ac:dyDescent="0.25">
      <c r="A270" s="64"/>
      <c r="B270" s="64"/>
      <c r="C270" s="64"/>
      <c r="D270" s="64"/>
    </row>
    <row r="271" spans="1:4" s="63" customFormat="1" ht="17.100000000000001" customHeight="1" x14ac:dyDescent="0.25">
      <c r="A271" s="64"/>
      <c r="B271" s="64"/>
      <c r="C271" s="64"/>
      <c r="D271" s="64"/>
    </row>
    <row r="272" spans="1:4" s="63" customFormat="1" ht="17.100000000000001" customHeight="1" x14ac:dyDescent="0.25">
      <c r="A272" s="64"/>
      <c r="B272" s="64"/>
      <c r="C272" s="64"/>
      <c r="D272" s="64"/>
    </row>
    <row r="273" spans="1:4" s="63" customFormat="1" ht="17.100000000000001" customHeight="1" x14ac:dyDescent="0.25">
      <c r="A273" s="64"/>
      <c r="B273" s="64"/>
      <c r="C273" s="64"/>
      <c r="D273" s="64"/>
    </row>
    <row r="274" spans="1:4" s="63" customFormat="1" ht="17.100000000000001" customHeight="1" x14ac:dyDescent="0.25">
      <c r="A274" s="64"/>
      <c r="B274" s="64"/>
      <c r="C274" s="64"/>
      <c r="D274" s="64"/>
    </row>
    <row r="275" spans="1:4" s="63" customFormat="1" ht="17.100000000000001" customHeight="1" x14ac:dyDescent="0.25">
      <c r="A275" s="64"/>
      <c r="B275" s="64"/>
      <c r="C275" s="64"/>
      <c r="D275" s="64"/>
    </row>
    <row r="276" spans="1:4" s="63" customFormat="1" ht="17.100000000000001" customHeight="1" x14ac:dyDescent="0.25">
      <c r="A276" s="64"/>
      <c r="B276" s="64"/>
      <c r="C276" s="64"/>
      <c r="D276" s="64"/>
    </row>
    <row r="277" spans="1:4" s="63" customFormat="1" ht="17.100000000000001" customHeight="1" x14ac:dyDescent="0.25">
      <c r="A277" s="64"/>
      <c r="B277" s="64"/>
      <c r="C277" s="64"/>
      <c r="D277" s="64"/>
    </row>
    <row r="278" spans="1:4" s="63" customFormat="1" ht="17.100000000000001" customHeight="1" x14ac:dyDescent="0.25">
      <c r="A278" s="64"/>
      <c r="B278" s="64"/>
      <c r="C278" s="64"/>
      <c r="D278" s="64"/>
    </row>
    <row r="279" spans="1:4" s="63" customFormat="1" ht="17.100000000000001" customHeight="1" x14ac:dyDescent="0.25">
      <c r="A279" s="64"/>
      <c r="B279" s="64"/>
      <c r="C279" s="64"/>
      <c r="D279" s="64"/>
    </row>
    <row r="280" spans="1:4" s="63" customFormat="1" ht="17.100000000000001" customHeight="1" x14ac:dyDescent="0.25">
      <c r="A280" s="64"/>
      <c r="B280" s="64"/>
      <c r="C280" s="64"/>
      <c r="D280" s="64"/>
    </row>
    <row r="281" spans="1:4" s="63" customFormat="1" ht="17.100000000000001" customHeight="1" x14ac:dyDescent="0.25">
      <c r="A281" s="64"/>
      <c r="B281" s="64"/>
      <c r="C281" s="64"/>
      <c r="D281" s="64"/>
    </row>
    <row r="282" spans="1:4" s="63" customFormat="1" ht="17.100000000000001" customHeight="1" x14ac:dyDescent="0.25">
      <c r="A282" s="64"/>
      <c r="B282" s="64"/>
      <c r="C282" s="64"/>
      <c r="D282" s="64"/>
    </row>
    <row r="283" spans="1:4" s="63" customFormat="1" ht="17.100000000000001" customHeight="1" x14ac:dyDescent="0.25">
      <c r="A283" s="64"/>
      <c r="B283" s="64"/>
      <c r="C283" s="64"/>
      <c r="D283" s="64"/>
    </row>
    <row r="284" spans="1:4" s="63" customFormat="1" ht="17.100000000000001" customHeight="1" x14ac:dyDescent="0.25">
      <c r="A284" s="64"/>
      <c r="B284" s="64"/>
      <c r="C284" s="64"/>
      <c r="D284" s="64"/>
    </row>
    <row r="285" spans="1:4" s="63" customFormat="1" ht="17.100000000000001" customHeight="1" x14ac:dyDescent="0.25">
      <c r="A285" s="64"/>
      <c r="B285" s="64"/>
      <c r="C285" s="64"/>
      <c r="D285" s="64"/>
    </row>
    <row r="286" spans="1:4" s="63" customFormat="1" ht="17.100000000000001" customHeight="1" x14ac:dyDescent="0.25">
      <c r="A286" s="64"/>
      <c r="B286" s="64"/>
      <c r="C286" s="64"/>
      <c r="D286" s="64"/>
    </row>
    <row r="287" spans="1:4" s="63" customFormat="1" ht="17.100000000000001" customHeight="1" x14ac:dyDescent="0.25">
      <c r="A287" s="64"/>
      <c r="B287" s="64"/>
      <c r="C287" s="64"/>
      <c r="D287" s="64"/>
    </row>
    <row r="288" spans="1:4" s="63" customFormat="1" ht="17.100000000000001" customHeight="1" x14ac:dyDescent="0.25">
      <c r="A288" s="64"/>
      <c r="B288" s="64"/>
      <c r="C288" s="64"/>
      <c r="D288" s="64"/>
    </row>
    <row r="289" spans="1:4" s="63" customFormat="1" ht="17.100000000000001" customHeight="1" x14ac:dyDescent="0.25">
      <c r="A289" s="64"/>
      <c r="B289" s="64"/>
      <c r="C289" s="64"/>
      <c r="D289" s="64"/>
    </row>
    <row r="290" spans="1:4" s="63" customFormat="1" ht="17.100000000000001" customHeight="1" x14ac:dyDescent="0.25">
      <c r="A290" s="64"/>
      <c r="B290" s="64"/>
      <c r="C290" s="64"/>
      <c r="D290" s="64"/>
    </row>
    <row r="291" spans="1:4" s="63" customFormat="1" ht="17.100000000000001" customHeight="1" x14ac:dyDescent="0.25">
      <c r="A291" s="64"/>
      <c r="B291" s="64"/>
      <c r="C291" s="64"/>
      <c r="D291" s="64"/>
    </row>
    <row r="292" spans="1:4" s="63" customFormat="1" ht="17.100000000000001" customHeight="1" x14ac:dyDescent="0.25">
      <c r="A292" s="64"/>
      <c r="B292" s="64"/>
      <c r="C292" s="64"/>
      <c r="D292" s="64"/>
    </row>
    <row r="293" spans="1:4" s="63" customFormat="1" ht="17.100000000000001" customHeight="1" x14ac:dyDescent="0.25">
      <c r="A293" s="64"/>
      <c r="B293" s="64"/>
      <c r="C293" s="64"/>
      <c r="D293" s="64"/>
    </row>
    <row r="294" spans="1:4" s="66" customFormat="1" ht="17.100000000000001" customHeight="1" x14ac:dyDescent="0.25">
      <c r="A294" s="65"/>
      <c r="B294" s="65"/>
      <c r="C294" s="65"/>
      <c r="D294" s="65"/>
    </row>
    <row r="295" spans="1:4" s="66" customFormat="1" ht="17.100000000000001" customHeight="1" x14ac:dyDescent="0.25">
      <c r="A295" s="65"/>
      <c r="B295" s="65"/>
      <c r="C295" s="65"/>
      <c r="D295" s="65"/>
    </row>
    <row r="296" spans="1:4" s="66" customFormat="1" ht="17.100000000000001" customHeight="1" x14ac:dyDescent="0.25">
      <c r="A296" s="65"/>
      <c r="B296" s="65"/>
      <c r="C296" s="65"/>
      <c r="D296" s="65"/>
    </row>
    <row r="297" spans="1:4" s="66" customFormat="1" ht="17.100000000000001" customHeight="1" x14ac:dyDescent="0.25">
      <c r="A297" s="65"/>
      <c r="B297" s="65"/>
      <c r="C297" s="65"/>
      <c r="D297" s="65"/>
    </row>
    <row r="298" spans="1:4" s="66" customFormat="1" ht="17.100000000000001" customHeight="1" x14ac:dyDescent="0.25">
      <c r="A298" s="65"/>
      <c r="B298" s="65"/>
      <c r="C298" s="65"/>
      <c r="D298" s="65"/>
    </row>
    <row r="299" spans="1:4" s="66" customFormat="1" ht="17.100000000000001" customHeight="1" x14ac:dyDescent="0.25">
      <c r="A299" s="65"/>
      <c r="B299" s="65"/>
      <c r="C299" s="65"/>
      <c r="D299" s="65"/>
    </row>
    <row r="300" spans="1:4" s="66" customFormat="1" ht="17.100000000000001" customHeight="1" x14ac:dyDescent="0.25">
      <c r="A300" s="65"/>
      <c r="B300" s="65"/>
      <c r="C300" s="65"/>
      <c r="D300" s="65"/>
    </row>
    <row r="301" spans="1:4" s="66" customFormat="1" ht="17.100000000000001" customHeight="1" x14ac:dyDescent="0.25">
      <c r="A301" s="65"/>
      <c r="B301" s="65"/>
      <c r="C301" s="65"/>
      <c r="D301" s="65"/>
    </row>
    <row r="302" spans="1:4" s="66" customFormat="1" ht="17.100000000000001" customHeight="1" x14ac:dyDescent="0.25">
      <c r="A302" s="65"/>
      <c r="B302" s="65"/>
      <c r="C302" s="65"/>
      <c r="D302" s="65"/>
    </row>
    <row r="303" spans="1:4" s="66" customFormat="1" ht="17.100000000000001" customHeight="1" x14ac:dyDescent="0.25">
      <c r="A303" s="65"/>
      <c r="B303" s="65"/>
      <c r="C303" s="65"/>
      <c r="D303" s="65"/>
    </row>
    <row r="304" spans="1:4" s="66" customFormat="1" ht="17.100000000000001" customHeight="1" x14ac:dyDescent="0.25">
      <c r="A304" s="65"/>
      <c r="B304" s="65"/>
      <c r="C304" s="65"/>
      <c r="D304" s="65"/>
    </row>
    <row r="305" spans="1:4" s="66" customFormat="1" ht="17.100000000000001" customHeight="1" x14ac:dyDescent="0.25">
      <c r="A305" s="65"/>
      <c r="B305" s="65"/>
      <c r="C305" s="65"/>
      <c r="D305" s="65"/>
    </row>
    <row r="306" spans="1:4" s="66" customFormat="1" ht="17.100000000000001" customHeight="1" x14ac:dyDescent="0.25">
      <c r="A306" s="65"/>
      <c r="B306" s="65"/>
      <c r="C306" s="65"/>
      <c r="D306" s="65"/>
    </row>
    <row r="307" spans="1:4" s="66" customFormat="1" ht="17.100000000000001" customHeight="1" x14ac:dyDescent="0.25">
      <c r="A307" s="65"/>
      <c r="B307" s="65"/>
      <c r="C307" s="65"/>
      <c r="D307" s="65"/>
    </row>
    <row r="308" spans="1:4" s="66" customFormat="1" ht="17.100000000000001" customHeight="1" x14ac:dyDescent="0.25">
      <c r="A308" s="65"/>
      <c r="B308" s="65"/>
      <c r="C308" s="65"/>
      <c r="D308" s="65"/>
    </row>
    <row r="309" spans="1:4" s="66" customFormat="1" ht="17.100000000000001" customHeight="1" x14ac:dyDescent="0.25">
      <c r="A309" s="65"/>
      <c r="B309" s="65"/>
      <c r="C309" s="65"/>
      <c r="D309" s="65"/>
    </row>
    <row r="310" spans="1:4" s="66" customFormat="1" ht="17.100000000000001" customHeight="1" x14ac:dyDescent="0.25">
      <c r="A310" s="65"/>
      <c r="B310" s="65"/>
      <c r="C310" s="65"/>
      <c r="D310" s="65"/>
    </row>
    <row r="311" spans="1:4" s="66" customFormat="1" ht="17.100000000000001" customHeight="1" x14ac:dyDescent="0.25">
      <c r="A311" s="65"/>
      <c r="B311" s="65"/>
      <c r="C311" s="65"/>
      <c r="D311" s="65"/>
    </row>
    <row r="312" spans="1:4" s="66" customFormat="1" ht="17.100000000000001" customHeight="1" x14ac:dyDescent="0.25">
      <c r="A312" s="65"/>
      <c r="B312" s="65"/>
      <c r="C312" s="65"/>
      <c r="D312" s="65"/>
    </row>
    <row r="313" spans="1:4" s="66" customFormat="1" ht="17.100000000000001" customHeight="1" x14ac:dyDescent="0.25">
      <c r="A313" s="65"/>
      <c r="B313" s="65"/>
      <c r="C313" s="65"/>
      <c r="D313" s="65"/>
    </row>
    <row r="314" spans="1:4" s="66" customFormat="1" ht="17.100000000000001" customHeight="1" x14ac:dyDescent="0.25">
      <c r="A314" s="65"/>
      <c r="B314" s="65"/>
      <c r="C314" s="65"/>
      <c r="D314" s="65"/>
    </row>
    <row r="315" spans="1:4" s="66" customFormat="1" ht="17.100000000000001" customHeight="1" x14ac:dyDescent="0.25">
      <c r="A315" s="65"/>
      <c r="B315" s="65"/>
      <c r="C315" s="65"/>
      <c r="D315" s="65"/>
    </row>
    <row r="316" spans="1:4" s="66" customFormat="1" ht="17.100000000000001" customHeight="1" x14ac:dyDescent="0.25">
      <c r="A316" s="65"/>
      <c r="B316" s="65"/>
      <c r="C316" s="65"/>
      <c r="D316" s="65"/>
    </row>
    <row r="317" spans="1:4" s="66" customFormat="1" ht="17.100000000000001" customHeight="1" x14ac:dyDescent="0.25">
      <c r="A317" s="65"/>
      <c r="B317" s="65"/>
      <c r="C317" s="65"/>
      <c r="D317" s="65"/>
    </row>
    <row r="318" spans="1:4" s="66" customFormat="1" ht="17.100000000000001" customHeight="1" x14ac:dyDescent="0.25">
      <c r="A318" s="65"/>
      <c r="B318" s="65"/>
      <c r="C318" s="65"/>
      <c r="D318" s="65"/>
    </row>
    <row r="319" spans="1:4" s="66" customFormat="1" ht="17.100000000000001" customHeight="1" x14ac:dyDescent="0.25">
      <c r="A319" s="65"/>
      <c r="B319" s="65"/>
      <c r="C319" s="65"/>
      <c r="D319" s="65"/>
    </row>
    <row r="320" spans="1:4" s="66" customFormat="1" ht="17.100000000000001" customHeight="1" x14ac:dyDescent="0.25">
      <c r="A320" s="65"/>
      <c r="B320" s="65"/>
      <c r="C320" s="65"/>
      <c r="D320" s="65"/>
    </row>
    <row r="321" spans="1:4" s="66" customFormat="1" ht="17.100000000000001" customHeight="1" x14ac:dyDescent="0.25">
      <c r="A321" s="65"/>
      <c r="B321" s="65"/>
      <c r="C321" s="65"/>
      <c r="D321" s="65"/>
    </row>
    <row r="322" spans="1:4" s="66" customFormat="1" ht="17.100000000000001" customHeight="1" x14ac:dyDescent="0.25">
      <c r="A322" s="65"/>
      <c r="B322" s="65"/>
      <c r="C322" s="65"/>
      <c r="D322" s="65"/>
    </row>
    <row r="323" spans="1:4" s="66" customFormat="1" ht="17.100000000000001" customHeight="1" x14ac:dyDescent="0.25">
      <c r="A323" s="65"/>
      <c r="B323" s="65"/>
      <c r="C323" s="65"/>
      <c r="D323" s="65"/>
    </row>
    <row r="324" spans="1:4" s="66" customFormat="1" ht="17.100000000000001" customHeight="1" x14ac:dyDescent="0.25">
      <c r="A324" s="65"/>
      <c r="B324" s="65"/>
      <c r="C324" s="65"/>
      <c r="D324" s="65"/>
    </row>
    <row r="325" spans="1:4" s="66" customFormat="1" ht="17.100000000000001" customHeight="1" x14ac:dyDescent="0.25">
      <c r="A325" s="65"/>
      <c r="B325" s="65"/>
      <c r="C325" s="65"/>
      <c r="D325" s="65"/>
    </row>
    <row r="326" spans="1:4" s="66" customFormat="1" ht="17.100000000000001" customHeight="1" x14ac:dyDescent="0.25">
      <c r="A326" s="65"/>
      <c r="B326" s="65"/>
      <c r="C326" s="65"/>
      <c r="D326" s="65"/>
    </row>
    <row r="327" spans="1:4" s="66" customFormat="1" ht="17.100000000000001" customHeight="1" x14ac:dyDescent="0.25">
      <c r="A327" s="65"/>
      <c r="B327" s="65"/>
      <c r="C327" s="65"/>
      <c r="D327" s="65"/>
    </row>
    <row r="328" spans="1:4" s="66" customFormat="1" ht="17.100000000000001" customHeight="1" x14ac:dyDescent="0.25">
      <c r="A328" s="65"/>
      <c r="B328" s="65"/>
      <c r="C328" s="65"/>
      <c r="D328" s="65"/>
    </row>
    <row r="329" spans="1:4" s="66" customFormat="1" ht="17.100000000000001" customHeight="1" x14ac:dyDescent="0.25">
      <c r="A329" s="65"/>
      <c r="B329" s="65"/>
      <c r="C329" s="65"/>
      <c r="D329" s="65"/>
    </row>
    <row r="330" spans="1:4" s="66" customFormat="1" ht="17.100000000000001" customHeight="1" x14ac:dyDescent="0.25">
      <c r="A330" s="65"/>
      <c r="B330" s="65"/>
      <c r="C330" s="65"/>
      <c r="D330" s="65"/>
    </row>
    <row r="331" spans="1:4" s="66" customFormat="1" ht="17.100000000000001" customHeight="1" x14ac:dyDescent="0.25">
      <c r="A331" s="65"/>
      <c r="B331" s="65"/>
      <c r="C331" s="65"/>
      <c r="D331" s="65"/>
    </row>
    <row r="332" spans="1:4" s="66" customFormat="1" ht="17.100000000000001" customHeight="1" x14ac:dyDescent="0.25">
      <c r="A332" s="65"/>
      <c r="B332" s="65"/>
      <c r="C332" s="65"/>
      <c r="D332" s="65"/>
    </row>
    <row r="333" spans="1:4" s="66" customFormat="1" ht="17.100000000000001" customHeight="1" x14ac:dyDescent="0.25">
      <c r="A333" s="65"/>
      <c r="B333" s="65"/>
      <c r="C333" s="65"/>
      <c r="D333" s="65"/>
    </row>
    <row r="334" spans="1:4" s="66" customFormat="1" ht="17.100000000000001" customHeight="1" x14ac:dyDescent="0.25">
      <c r="A334" s="65"/>
      <c r="B334" s="65"/>
      <c r="C334" s="65"/>
      <c r="D334" s="65"/>
    </row>
    <row r="335" spans="1:4" s="66" customFormat="1" ht="17.100000000000001" customHeight="1" x14ac:dyDescent="0.25">
      <c r="A335" s="65"/>
      <c r="B335" s="65"/>
      <c r="C335" s="65"/>
      <c r="D335" s="65"/>
    </row>
    <row r="336" spans="1:4" s="66" customFormat="1" ht="17.100000000000001" customHeight="1" x14ac:dyDescent="0.25">
      <c r="A336" s="65"/>
      <c r="B336" s="65"/>
      <c r="C336" s="65"/>
      <c r="D336" s="65"/>
    </row>
    <row r="337" spans="1:4" s="66" customFormat="1" ht="17.100000000000001" customHeight="1" x14ac:dyDescent="0.25">
      <c r="A337" s="65"/>
      <c r="B337" s="65"/>
      <c r="C337" s="65"/>
      <c r="D337" s="65"/>
    </row>
    <row r="338" spans="1:4" s="66" customFormat="1" ht="17.100000000000001" customHeight="1" x14ac:dyDescent="0.25">
      <c r="A338" s="65"/>
      <c r="B338" s="65"/>
      <c r="C338" s="65"/>
      <c r="D338" s="65"/>
    </row>
    <row r="339" spans="1:4" s="66" customFormat="1" ht="17.100000000000001" customHeight="1" x14ac:dyDescent="0.25">
      <c r="A339" s="65"/>
      <c r="B339" s="65"/>
      <c r="C339" s="65"/>
      <c r="D339" s="65"/>
    </row>
    <row r="340" spans="1:4" s="66" customFormat="1" ht="17.100000000000001" customHeight="1" x14ac:dyDescent="0.25">
      <c r="A340" s="65"/>
      <c r="B340" s="65"/>
      <c r="C340" s="65"/>
      <c r="D340" s="65"/>
    </row>
    <row r="341" spans="1:4" s="66" customFormat="1" ht="17.100000000000001" customHeight="1" x14ac:dyDescent="0.25">
      <c r="A341" s="65"/>
      <c r="B341" s="65"/>
      <c r="C341" s="65"/>
      <c r="D341" s="65"/>
    </row>
    <row r="342" spans="1:4" s="66" customFormat="1" ht="17.100000000000001" customHeight="1" x14ac:dyDescent="0.25">
      <c r="A342" s="65"/>
      <c r="B342" s="65"/>
      <c r="C342" s="65"/>
      <c r="D342" s="65"/>
    </row>
    <row r="343" spans="1:4" s="66" customFormat="1" ht="17.100000000000001" customHeight="1" x14ac:dyDescent="0.25">
      <c r="A343" s="65"/>
      <c r="B343" s="65"/>
      <c r="C343" s="65"/>
      <c r="D343" s="65"/>
    </row>
    <row r="344" spans="1:4" s="66" customFormat="1" ht="17.100000000000001" customHeight="1" x14ac:dyDescent="0.25">
      <c r="A344" s="65"/>
      <c r="B344" s="65"/>
      <c r="C344" s="65"/>
      <c r="D344" s="65"/>
    </row>
    <row r="345" spans="1:4" s="66" customFormat="1" ht="17.100000000000001" customHeight="1" x14ac:dyDescent="0.25">
      <c r="A345" s="65"/>
      <c r="B345" s="65"/>
      <c r="C345" s="65"/>
      <c r="D345" s="65"/>
    </row>
    <row r="346" spans="1:4" s="66" customFormat="1" ht="17.100000000000001" customHeight="1" x14ac:dyDescent="0.25">
      <c r="A346" s="65"/>
      <c r="B346" s="65"/>
      <c r="C346" s="65"/>
      <c r="D346" s="65"/>
    </row>
    <row r="347" spans="1:4" s="66" customFormat="1" ht="17.100000000000001" customHeight="1" x14ac:dyDescent="0.25">
      <c r="A347" s="65"/>
      <c r="B347" s="65"/>
      <c r="C347" s="65"/>
      <c r="D347" s="65"/>
    </row>
    <row r="348" spans="1:4" s="66" customFormat="1" ht="17.100000000000001" customHeight="1" x14ac:dyDescent="0.25">
      <c r="A348" s="65"/>
      <c r="B348" s="65"/>
      <c r="C348" s="65"/>
      <c r="D348" s="65"/>
    </row>
    <row r="349" spans="1:4" s="66" customFormat="1" ht="17.100000000000001" customHeight="1" x14ac:dyDescent="0.25">
      <c r="A349" s="65"/>
      <c r="B349" s="65"/>
      <c r="C349" s="65"/>
      <c r="D349" s="65"/>
    </row>
    <row r="350" spans="1:4" s="66" customFormat="1" ht="17.100000000000001" customHeight="1" x14ac:dyDescent="0.25">
      <c r="A350" s="65"/>
      <c r="B350" s="65"/>
      <c r="C350" s="65"/>
      <c r="D350" s="65"/>
    </row>
    <row r="351" spans="1:4" s="66" customFormat="1" ht="17.100000000000001" customHeight="1" x14ac:dyDescent="0.25">
      <c r="A351" s="65"/>
      <c r="B351" s="65"/>
      <c r="C351" s="65"/>
      <c r="D351" s="65"/>
    </row>
    <row r="352" spans="1:4" s="66" customFormat="1" ht="17.100000000000001" customHeight="1" x14ac:dyDescent="0.25">
      <c r="A352" s="65"/>
      <c r="B352" s="65"/>
      <c r="C352" s="65"/>
      <c r="D352" s="65"/>
    </row>
    <row r="353" spans="1:4" s="66" customFormat="1" ht="17.100000000000001" customHeight="1" x14ac:dyDescent="0.25">
      <c r="A353" s="65"/>
      <c r="B353" s="65"/>
      <c r="C353" s="65"/>
      <c r="D353" s="65"/>
    </row>
    <row r="354" spans="1:4" s="66" customFormat="1" ht="17.100000000000001" customHeight="1" x14ac:dyDescent="0.25">
      <c r="A354" s="65"/>
      <c r="B354" s="65"/>
      <c r="C354" s="65"/>
      <c r="D354" s="65"/>
    </row>
    <row r="355" spans="1:4" s="66" customFormat="1" ht="17.100000000000001" customHeight="1" x14ac:dyDescent="0.25">
      <c r="A355" s="65"/>
      <c r="B355" s="65"/>
      <c r="C355" s="65"/>
      <c r="D355" s="65"/>
    </row>
    <row r="356" spans="1:4" s="66" customFormat="1" ht="17.100000000000001" customHeight="1" x14ac:dyDescent="0.25">
      <c r="A356" s="65"/>
      <c r="B356" s="65"/>
      <c r="C356" s="65"/>
      <c r="D356" s="65"/>
    </row>
    <row r="357" spans="1:4" s="66" customFormat="1" ht="17.100000000000001" customHeight="1" x14ac:dyDescent="0.25">
      <c r="A357" s="65"/>
      <c r="B357" s="65"/>
      <c r="C357" s="65"/>
      <c r="D357" s="65"/>
    </row>
    <row r="358" spans="1:4" s="66" customFormat="1" ht="17.100000000000001" customHeight="1" x14ac:dyDescent="0.25">
      <c r="A358" s="65"/>
      <c r="B358" s="65"/>
      <c r="C358" s="65"/>
      <c r="D358" s="65"/>
    </row>
    <row r="359" spans="1:4" s="66" customFormat="1" ht="17.100000000000001" customHeight="1" x14ac:dyDescent="0.25">
      <c r="A359" s="65"/>
      <c r="B359" s="65"/>
      <c r="C359" s="65"/>
      <c r="D359" s="65"/>
    </row>
    <row r="360" spans="1:4" s="66" customFormat="1" ht="17.100000000000001" customHeight="1" x14ac:dyDescent="0.25">
      <c r="A360" s="65"/>
      <c r="B360" s="65"/>
      <c r="C360" s="65"/>
      <c r="D360" s="65"/>
    </row>
    <row r="361" spans="1:4" s="66" customFormat="1" ht="17.100000000000001" customHeight="1" x14ac:dyDescent="0.25">
      <c r="A361" s="65"/>
      <c r="B361" s="65"/>
      <c r="C361" s="65"/>
      <c r="D361" s="65"/>
    </row>
    <row r="362" spans="1:4" s="66" customFormat="1" ht="17.100000000000001" customHeight="1" x14ac:dyDescent="0.25">
      <c r="A362" s="65"/>
      <c r="B362" s="65"/>
      <c r="C362" s="65"/>
      <c r="D362" s="65"/>
    </row>
    <row r="363" spans="1:4" s="66" customFormat="1" ht="17.100000000000001" customHeight="1" x14ac:dyDescent="0.25">
      <c r="A363" s="65"/>
      <c r="B363" s="65"/>
      <c r="C363" s="65"/>
      <c r="D363" s="65"/>
    </row>
    <row r="364" spans="1:4" s="66" customFormat="1" ht="17.100000000000001" customHeight="1" x14ac:dyDescent="0.25">
      <c r="A364" s="65"/>
      <c r="B364" s="65"/>
      <c r="C364" s="65"/>
      <c r="D364" s="65"/>
    </row>
    <row r="365" spans="1:4" s="66" customFormat="1" ht="17.100000000000001" customHeight="1" x14ac:dyDescent="0.25">
      <c r="A365" s="65"/>
      <c r="B365" s="65"/>
      <c r="C365" s="65"/>
      <c r="D365" s="65"/>
    </row>
    <row r="366" spans="1:4" s="66" customFormat="1" ht="17.100000000000001" customHeight="1" x14ac:dyDescent="0.25">
      <c r="A366" s="65"/>
      <c r="B366" s="65"/>
      <c r="C366" s="65"/>
      <c r="D366" s="65"/>
    </row>
    <row r="367" spans="1:4" s="66" customFormat="1" ht="17.100000000000001" customHeight="1" x14ac:dyDescent="0.25">
      <c r="A367" s="65"/>
      <c r="B367" s="65"/>
      <c r="C367" s="65"/>
      <c r="D367" s="65"/>
    </row>
    <row r="368" spans="1:4" s="66" customFormat="1" ht="17.100000000000001" customHeight="1" x14ac:dyDescent="0.25">
      <c r="A368" s="65"/>
      <c r="B368" s="65"/>
      <c r="C368" s="65"/>
      <c r="D368" s="65"/>
    </row>
    <row r="369" spans="1:4" s="66" customFormat="1" ht="17.100000000000001" customHeight="1" x14ac:dyDescent="0.25">
      <c r="A369" s="65"/>
      <c r="B369" s="65"/>
      <c r="C369" s="65"/>
      <c r="D369" s="65"/>
    </row>
    <row r="370" spans="1:4" s="66" customFormat="1" ht="17.100000000000001" customHeight="1" x14ac:dyDescent="0.25">
      <c r="A370" s="65"/>
      <c r="B370" s="65"/>
      <c r="C370" s="65"/>
      <c r="D370" s="65"/>
    </row>
    <row r="371" spans="1:4" s="66" customFormat="1" ht="17.100000000000001" customHeight="1" x14ac:dyDescent="0.25">
      <c r="A371" s="65"/>
      <c r="B371" s="65"/>
      <c r="C371" s="65"/>
      <c r="D371" s="65"/>
    </row>
    <row r="372" spans="1:4" s="66" customFormat="1" ht="17.100000000000001" customHeight="1" x14ac:dyDescent="0.25">
      <c r="A372" s="65"/>
      <c r="B372" s="65"/>
      <c r="C372" s="65"/>
      <c r="D372" s="65"/>
    </row>
    <row r="373" spans="1:4" s="66" customFormat="1" ht="17.100000000000001" customHeight="1" x14ac:dyDescent="0.25">
      <c r="A373" s="65"/>
      <c r="B373" s="65"/>
      <c r="C373" s="65"/>
      <c r="D373" s="65"/>
    </row>
    <row r="374" spans="1:4" s="66" customFormat="1" ht="17.100000000000001" customHeight="1" x14ac:dyDescent="0.25">
      <c r="A374" s="65"/>
      <c r="B374" s="65"/>
      <c r="C374" s="65"/>
      <c r="D374" s="65"/>
    </row>
    <row r="375" spans="1:4" s="66" customFormat="1" ht="17.100000000000001" customHeight="1" x14ac:dyDescent="0.25">
      <c r="A375" s="65"/>
      <c r="B375" s="65"/>
      <c r="C375" s="65"/>
      <c r="D375" s="65"/>
    </row>
    <row r="376" spans="1:4" s="66" customFormat="1" ht="17.100000000000001" customHeight="1" x14ac:dyDescent="0.25">
      <c r="A376" s="65"/>
      <c r="B376" s="65"/>
      <c r="C376" s="65"/>
      <c r="D376" s="65"/>
    </row>
    <row r="377" spans="1:4" s="66" customFormat="1" ht="17.100000000000001" customHeight="1" x14ac:dyDescent="0.25">
      <c r="A377" s="65"/>
      <c r="B377" s="65"/>
      <c r="C377" s="65"/>
      <c r="D377" s="65"/>
    </row>
    <row r="378" spans="1:4" s="66" customFormat="1" ht="17.100000000000001" customHeight="1" x14ac:dyDescent="0.25">
      <c r="A378" s="65"/>
      <c r="B378" s="65"/>
      <c r="C378" s="65"/>
      <c r="D378" s="65"/>
    </row>
    <row r="379" spans="1:4" s="66" customFormat="1" ht="17.100000000000001" customHeight="1" x14ac:dyDescent="0.25">
      <c r="A379" s="65"/>
      <c r="B379" s="65"/>
      <c r="C379" s="65"/>
      <c r="D379" s="65"/>
    </row>
    <row r="380" spans="1:4" s="66" customFormat="1" ht="17.100000000000001" customHeight="1" x14ac:dyDescent="0.25">
      <c r="A380" s="65"/>
      <c r="B380" s="65"/>
      <c r="C380" s="65"/>
      <c r="D380" s="65"/>
    </row>
    <row r="381" spans="1:4" s="66" customFormat="1" ht="17.100000000000001" customHeight="1" x14ac:dyDescent="0.25">
      <c r="A381" s="65"/>
      <c r="B381" s="65"/>
      <c r="C381" s="65"/>
      <c r="D381" s="65"/>
    </row>
    <row r="382" spans="1:4" s="66" customFormat="1" ht="17.100000000000001" customHeight="1" x14ac:dyDescent="0.25">
      <c r="A382" s="65"/>
      <c r="B382" s="65"/>
      <c r="C382" s="65"/>
      <c r="D382" s="65"/>
    </row>
    <row r="383" spans="1:4" s="66" customFormat="1" ht="17.100000000000001" customHeight="1" x14ac:dyDescent="0.25">
      <c r="A383" s="65"/>
      <c r="B383" s="65"/>
      <c r="C383" s="65"/>
      <c r="D383" s="65"/>
    </row>
    <row r="384" spans="1:4" s="66" customFormat="1" ht="17.100000000000001" customHeight="1" x14ac:dyDescent="0.25">
      <c r="A384" s="65"/>
      <c r="B384" s="65"/>
      <c r="C384" s="65"/>
      <c r="D384" s="65"/>
    </row>
    <row r="385" spans="1:4" s="66" customFormat="1" ht="17.100000000000001" customHeight="1" x14ac:dyDescent="0.25">
      <c r="A385" s="65"/>
      <c r="B385" s="65"/>
      <c r="C385" s="65"/>
      <c r="D385" s="65"/>
    </row>
    <row r="386" spans="1:4" s="66" customFormat="1" ht="17.100000000000001" customHeight="1" x14ac:dyDescent="0.25">
      <c r="A386" s="65"/>
      <c r="B386" s="65"/>
      <c r="C386" s="65"/>
      <c r="D386" s="65"/>
    </row>
    <row r="387" spans="1:4" s="66" customFormat="1" ht="17.100000000000001" customHeight="1" x14ac:dyDescent="0.25">
      <c r="A387" s="65"/>
      <c r="B387" s="65"/>
      <c r="C387" s="65"/>
      <c r="D387" s="65"/>
    </row>
    <row r="388" spans="1:4" s="66" customFormat="1" ht="17.100000000000001" customHeight="1" x14ac:dyDescent="0.25">
      <c r="A388" s="65"/>
      <c r="B388" s="65"/>
      <c r="C388" s="65"/>
      <c r="D388" s="65"/>
    </row>
    <row r="389" spans="1:4" s="66" customFormat="1" ht="17.100000000000001" customHeight="1" x14ac:dyDescent="0.25">
      <c r="A389" s="65"/>
      <c r="B389" s="65"/>
      <c r="C389" s="65"/>
      <c r="D389" s="65"/>
    </row>
    <row r="390" spans="1:4" s="66" customFormat="1" ht="17.100000000000001" customHeight="1" x14ac:dyDescent="0.25">
      <c r="A390" s="65"/>
      <c r="B390" s="65"/>
      <c r="C390" s="65"/>
      <c r="D390" s="65"/>
    </row>
    <row r="391" spans="1:4" s="66" customFormat="1" ht="17.100000000000001" customHeight="1" x14ac:dyDescent="0.25">
      <c r="A391" s="65"/>
      <c r="B391" s="65"/>
      <c r="C391" s="65"/>
      <c r="D391" s="65"/>
    </row>
    <row r="392" spans="1:4" s="66" customFormat="1" ht="17.100000000000001" customHeight="1" x14ac:dyDescent="0.25">
      <c r="A392" s="65"/>
      <c r="B392" s="65"/>
      <c r="C392" s="65"/>
      <c r="D392" s="65"/>
    </row>
    <row r="393" spans="1:4" s="66" customFormat="1" ht="17.100000000000001" customHeight="1" x14ac:dyDescent="0.25">
      <c r="A393" s="65"/>
      <c r="B393" s="65"/>
      <c r="C393" s="65"/>
      <c r="D393" s="65"/>
    </row>
    <row r="394" spans="1:4" s="66" customFormat="1" ht="17.100000000000001" customHeight="1" x14ac:dyDescent="0.25">
      <c r="A394" s="65"/>
      <c r="B394" s="65"/>
      <c r="C394" s="65"/>
      <c r="D394" s="65"/>
    </row>
    <row r="395" spans="1:4" s="66" customFormat="1" ht="17.100000000000001" customHeight="1" x14ac:dyDescent="0.25">
      <c r="A395" s="65"/>
      <c r="B395" s="65"/>
      <c r="C395" s="65"/>
      <c r="D395" s="65"/>
    </row>
    <row r="396" spans="1:4" s="66" customFormat="1" ht="17.100000000000001" customHeight="1" x14ac:dyDescent="0.25">
      <c r="A396" s="65"/>
      <c r="B396" s="65"/>
      <c r="C396" s="65"/>
      <c r="D396" s="65"/>
    </row>
    <row r="397" spans="1:4" s="66" customFormat="1" ht="17.100000000000001" customHeight="1" x14ac:dyDescent="0.25">
      <c r="A397" s="65"/>
      <c r="B397" s="65"/>
      <c r="C397" s="65"/>
      <c r="D397" s="65"/>
    </row>
    <row r="398" spans="1:4" s="66" customFormat="1" ht="17.100000000000001" customHeight="1" x14ac:dyDescent="0.25">
      <c r="A398" s="65"/>
      <c r="B398" s="65"/>
      <c r="C398" s="65"/>
      <c r="D398" s="65"/>
    </row>
    <row r="399" spans="1:4" s="66" customFormat="1" ht="17.100000000000001" customHeight="1" x14ac:dyDescent="0.25">
      <c r="A399" s="65"/>
      <c r="B399" s="65"/>
      <c r="C399" s="65"/>
      <c r="D399" s="65"/>
    </row>
    <row r="400" spans="1:4" s="66" customFormat="1" ht="17.100000000000001" customHeight="1" x14ac:dyDescent="0.25">
      <c r="A400" s="65"/>
      <c r="B400" s="65"/>
      <c r="C400" s="65"/>
      <c r="D400" s="65"/>
    </row>
    <row r="401" spans="1:4" s="66" customFormat="1" ht="17.100000000000001" customHeight="1" x14ac:dyDescent="0.25">
      <c r="A401" s="65"/>
      <c r="B401" s="65"/>
      <c r="C401" s="65"/>
      <c r="D401" s="65"/>
    </row>
    <row r="402" spans="1:4" s="66" customFormat="1" ht="17.100000000000001" customHeight="1" x14ac:dyDescent="0.25">
      <c r="A402" s="65"/>
      <c r="B402" s="65"/>
      <c r="C402" s="65"/>
      <c r="D402" s="65"/>
    </row>
    <row r="403" spans="1:4" s="66" customFormat="1" ht="17.100000000000001" customHeight="1" x14ac:dyDescent="0.25">
      <c r="A403" s="65"/>
      <c r="B403" s="65"/>
      <c r="C403" s="65"/>
      <c r="D403" s="65"/>
    </row>
    <row r="404" spans="1:4" s="66" customFormat="1" ht="17.100000000000001" customHeight="1" x14ac:dyDescent="0.25">
      <c r="A404" s="65"/>
      <c r="B404" s="65"/>
      <c r="C404" s="65"/>
      <c r="D404" s="65"/>
    </row>
    <row r="405" spans="1:4" s="66" customFormat="1" ht="17.100000000000001" customHeight="1" x14ac:dyDescent="0.25">
      <c r="A405" s="65"/>
      <c r="B405" s="65"/>
      <c r="C405" s="65"/>
      <c r="D405" s="65"/>
    </row>
    <row r="406" spans="1:4" s="66" customFormat="1" ht="17.100000000000001" customHeight="1" x14ac:dyDescent="0.25">
      <c r="A406" s="65"/>
      <c r="B406" s="65"/>
      <c r="C406" s="65"/>
      <c r="D406" s="65"/>
    </row>
    <row r="407" spans="1:4" s="66" customFormat="1" ht="17.100000000000001" customHeight="1" x14ac:dyDescent="0.25">
      <c r="A407" s="65"/>
      <c r="B407" s="65"/>
      <c r="C407" s="65"/>
      <c r="D407" s="65"/>
    </row>
    <row r="408" spans="1:4" s="66" customFormat="1" ht="17.100000000000001" customHeight="1" x14ac:dyDescent="0.25">
      <c r="A408" s="65"/>
      <c r="B408" s="65"/>
      <c r="C408" s="65"/>
      <c r="D408" s="65"/>
    </row>
    <row r="409" spans="1:4" s="66" customFormat="1" ht="17.100000000000001" customHeight="1" x14ac:dyDescent="0.25">
      <c r="A409" s="65"/>
      <c r="B409" s="65"/>
      <c r="C409" s="65"/>
      <c r="D409" s="65"/>
    </row>
    <row r="410" spans="1:4" s="66" customFormat="1" ht="17.100000000000001" customHeight="1" x14ac:dyDescent="0.25">
      <c r="A410" s="65"/>
      <c r="B410" s="65"/>
      <c r="C410" s="65"/>
      <c r="D410" s="65"/>
    </row>
    <row r="411" spans="1:4" s="66" customFormat="1" ht="17.100000000000001" customHeight="1" x14ac:dyDescent="0.25">
      <c r="A411" s="65"/>
      <c r="B411" s="65"/>
      <c r="C411" s="65"/>
      <c r="D411" s="65"/>
    </row>
    <row r="412" spans="1:4" s="66" customFormat="1" ht="17.100000000000001" customHeight="1" x14ac:dyDescent="0.25">
      <c r="A412" s="65"/>
      <c r="B412" s="65"/>
      <c r="C412" s="65"/>
      <c r="D412" s="65"/>
    </row>
    <row r="413" spans="1:4" s="66" customFormat="1" ht="17.100000000000001" customHeight="1" x14ac:dyDescent="0.25">
      <c r="A413" s="65"/>
      <c r="B413" s="65"/>
      <c r="C413" s="65"/>
      <c r="D413" s="65"/>
    </row>
    <row r="414" spans="1:4" s="66" customFormat="1" ht="17.100000000000001" customHeight="1" x14ac:dyDescent="0.25">
      <c r="A414" s="65"/>
      <c r="B414" s="65"/>
      <c r="C414" s="65"/>
      <c r="D414" s="65"/>
    </row>
    <row r="415" spans="1:4" s="66" customFormat="1" ht="17.100000000000001" customHeight="1" x14ac:dyDescent="0.25">
      <c r="A415" s="65"/>
      <c r="B415" s="65"/>
      <c r="C415" s="65"/>
      <c r="D415" s="65"/>
    </row>
    <row r="416" spans="1:4" s="66" customFormat="1" ht="17.100000000000001" customHeight="1" x14ac:dyDescent="0.25">
      <c r="A416" s="65"/>
      <c r="B416" s="65"/>
      <c r="C416" s="65"/>
      <c r="D416" s="65"/>
    </row>
    <row r="417" spans="1:4" s="66" customFormat="1" ht="17.100000000000001" customHeight="1" x14ac:dyDescent="0.25">
      <c r="A417" s="65"/>
      <c r="B417" s="65"/>
      <c r="C417" s="65"/>
      <c r="D417" s="65"/>
    </row>
    <row r="418" spans="1:4" s="66" customFormat="1" ht="17.100000000000001" customHeight="1" x14ac:dyDescent="0.25">
      <c r="A418" s="65"/>
      <c r="B418" s="65"/>
      <c r="C418" s="65"/>
      <c r="D418" s="65"/>
    </row>
    <row r="419" spans="1:4" s="66" customFormat="1" ht="17.100000000000001" customHeight="1" x14ac:dyDescent="0.25">
      <c r="A419" s="65"/>
      <c r="B419" s="65"/>
      <c r="C419" s="65"/>
      <c r="D419" s="65"/>
    </row>
    <row r="420" spans="1:4" s="66" customFormat="1" ht="17.100000000000001" customHeight="1" x14ac:dyDescent="0.25">
      <c r="A420" s="65"/>
      <c r="B420" s="65"/>
      <c r="C420" s="65"/>
      <c r="D420" s="65"/>
    </row>
    <row r="421" spans="1:4" s="66" customFormat="1" ht="17.100000000000001" customHeight="1" x14ac:dyDescent="0.25">
      <c r="A421" s="65"/>
      <c r="B421" s="65"/>
      <c r="C421" s="65"/>
      <c r="D421" s="65"/>
    </row>
    <row r="422" spans="1:4" s="66" customFormat="1" ht="17.100000000000001" customHeight="1" x14ac:dyDescent="0.25">
      <c r="A422" s="65"/>
      <c r="B422" s="65"/>
      <c r="C422" s="65"/>
      <c r="D422" s="65"/>
    </row>
    <row r="423" spans="1:4" s="66" customFormat="1" ht="17.100000000000001" customHeight="1" x14ac:dyDescent="0.25">
      <c r="A423" s="65"/>
      <c r="B423" s="65"/>
      <c r="C423" s="65"/>
      <c r="D423" s="65"/>
    </row>
    <row r="424" spans="1:4" s="66" customFormat="1" ht="17.100000000000001" customHeight="1" x14ac:dyDescent="0.25">
      <c r="A424" s="65"/>
      <c r="B424" s="65"/>
      <c r="C424" s="65"/>
      <c r="D424" s="65"/>
    </row>
    <row r="425" spans="1:4" s="66" customFormat="1" ht="17.100000000000001" customHeight="1" x14ac:dyDescent="0.25">
      <c r="A425" s="65"/>
      <c r="B425" s="65"/>
      <c r="C425" s="65"/>
      <c r="D425" s="65"/>
    </row>
    <row r="426" spans="1:4" s="66" customFormat="1" ht="17.100000000000001" customHeight="1" x14ac:dyDescent="0.25">
      <c r="A426" s="65"/>
      <c r="B426" s="65"/>
      <c r="C426" s="65"/>
      <c r="D426" s="65"/>
    </row>
    <row r="427" spans="1:4" s="66" customFormat="1" ht="17.100000000000001" customHeight="1" x14ac:dyDescent="0.25">
      <c r="A427" s="65"/>
      <c r="B427" s="65"/>
      <c r="C427" s="65"/>
      <c r="D427" s="65"/>
    </row>
    <row r="428" spans="1:4" s="66" customFormat="1" ht="17.100000000000001" customHeight="1" x14ac:dyDescent="0.25">
      <c r="A428" s="65"/>
      <c r="B428" s="65"/>
      <c r="C428" s="65"/>
      <c r="D428" s="65"/>
    </row>
    <row r="429" spans="1:4" s="66" customFormat="1" ht="17.100000000000001" customHeight="1" x14ac:dyDescent="0.25">
      <c r="A429" s="65"/>
      <c r="B429" s="65"/>
      <c r="C429" s="65"/>
      <c r="D429" s="65"/>
    </row>
    <row r="430" spans="1:4" s="66" customFormat="1" ht="17.100000000000001" customHeight="1" x14ac:dyDescent="0.25">
      <c r="A430" s="65"/>
      <c r="B430" s="65"/>
      <c r="C430" s="65"/>
      <c r="D430" s="65"/>
    </row>
    <row r="431" spans="1:4" s="66" customFormat="1" ht="17.100000000000001" customHeight="1" x14ac:dyDescent="0.25">
      <c r="A431" s="65"/>
      <c r="B431" s="65"/>
      <c r="C431" s="65"/>
      <c r="D431" s="65"/>
    </row>
    <row r="432" spans="1:4" s="66" customFormat="1" ht="17.100000000000001" customHeight="1" x14ac:dyDescent="0.25">
      <c r="A432" s="65"/>
      <c r="B432" s="65"/>
      <c r="C432" s="65"/>
      <c r="D432" s="65"/>
    </row>
    <row r="433" spans="1:4" s="66" customFormat="1" ht="17.100000000000001" customHeight="1" x14ac:dyDescent="0.25">
      <c r="A433" s="65"/>
      <c r="B433" s="65"/>
      <c r="C433" s="65"/>
      <c r="D433" s="65"/>
    </row>
    <row r="434" spans="1:4" s="66" customFormat="1" ht="17.100000000000001" customHeight="1" x14ac:dyDescent="0.25">
      <c r="A434" s="65"/>
      <c r="B434" s="65"/>
      <c r="C434" s="65"/>
      <c r="D434" s="65"/>
    </row>
    <row r="435" spans="1:4" s="66" customFormat="1" ht="17.100000000000001" customHeight="1" x14ac:dyDescent="0.25">
      <c r="A435" s="65"/>
      <c r="B435" s="65"/>
      <c r="C435" s="65"/>
      <c r="D435" s="65"/>
    </row>
    <row r="436" spans="1:4" s="66" customFormat="1" ht="17.100000000000001" customHeight="1" x14ac:dyDescent="0.25">
      <c r="A436" s="65"/>
      <c r="B436" s="65"/>
      <c r="C436" s="65"/>
      <c r="D436" s="65"/>
    </row>
    <row r="437" spans="1:4" s="66" customFormat="1" ht="17.100000000000001" customHeight="1" x14ac:dyDescent="0.25">
      <c r="A437" s="65"/>
      <c r="B437" s="65"/>
      <c r="C437" s="65"/>
      <c r="D437" s="65"/>
    </row>
    <row r="438" spans="1:4" s="66" customFormat="1" ht="17.100000000000001" customHeight="1" x14ac:dyDescent="0.25">
      <c r="A438" s="65"/>
      <c r="B438" s="65"/>
      <c r="C438" s="65"/>
      <c r="D438" s="65"/>
    </row>
    <row r="439" spans="1:4" s="66" customFormat="1" ht="17.100000000000001" customHeight="1" x14ac:dyDescent="0.25">
      <c r="A439" s="65"/>
      <c r="B439" s="65"/>
      <c r="C439" s="65"/>
      <c r="D439" s="65"/>
    </row>
    <row r="440" spans="1:4" s="66" customFormat="1" ht="17.100000000000001" customHeight="1" x14ac:dyDescent="0.25">
      <c r="A440" s="65"/>
      <c r="B440" s="65"/>
      <c r="C440" s="65"/>
      <c r="D440" s="65"/>
    </row>
    <row r="441" spans="1:4" s="66" customFormat="1" ht="17.100000000000001" customHeight="1" x14ac:dyDescent="0.25">
      <c r="A441" s="65"/>
      <c r="B441" s="65"/>
      <c r="C441" s="65"/>
      <c r="D441" s="65"/>
    </row>
    <row r="442" spans="1:4" s="66" customFormat="1" ht="17.100000000000001" customHeight="1" x14ac:dyDescent="0.25">
      <c r="A442" s="65"/>
      <c r="B442" s="65"/>
      <c r="C442" s="65"/>
      <c r="D442" s="65"/>
    </row>
    <row r="443" spans="1:4" s="66" customFormat="1" ht="17.100000000000001" customHeight="1" x14ac:dyDescent="0.25">
      <c r="A443" s="65"/>
      <c r="B443" s="65"/>
      <c r="C443" s="65"/>
      <c r="D443" s="65"/>
    </row>
    <row r="444" spans="1:4" s="66" customFormat="1" ht="17.100000000000001" customHeight="1" x14ac:dyDescent="0.25">
      <c r="A444" s="65"/>
      <c r="B444" s="65"/>
      <c r="C444" s="65"/>
      <c r="D444" s="65"/>
    </row>
    <row r="445" spans="1:4" s="66" customFormat="1" ht="17.100000000000001" customHeight="1" x14ac:dyDescent="0.25">
      <c r="A445" s="65"/>
      <c r="B445" s="65"/>
      <c r="C445" s="65"/>
      <c r="D445" s="65"/>
    </row>
    <row r="446" spans="1:4" s="66" customFormat="1" ht="17.100000000000001" customHeight="1" x14ac:dyDescent="0.25">
      <c r="A446" s="65"/>
      <c r="B446" s="65"/>
      <c r="C446" s="65"/>
      <c r="D446" s="65"/>
    </row>
    <row r="447" spans="1:4" s="66" customFormat="1" ht="17.100000000000001" customHeight="1" x14ac:dyDescent="0.25">
      <c r="A447" s="65"/>
      <c r="B447" s="65"/>
      <c r="C447" s="65"/>
      <c r="D447" s="65"/>
    </row>
    <row r="448" spans="1:4" s="66" customFormat="1" ht="17.100000000000001" customHeight="1" x14ac:dyDescent="0.25">
      <c r="A448" s="65"/>
      <c r="B448" s="65"/>
      <c r="C448" s="65"/>
      <c r="D448" s="65"/>
    </row>
    <row r="449" spans="1:4" s="66" customFormat="1" ht="17.100000000000001" customHeight="1" x14ac:dyDescent="0.25">
      <c r="A449" s="65"/>
      <c r="B449" s="65"/>
      <c r="C449" s="65"/>
      <c r="D449" s="65"/>
    </row>
    <row r="450" spans="1:4" s="66" customFormat="1" ht="17.100000000000001" customHeight="1" x14ac:dyDescent="0.25">
      <c r="A450" s="65"/>
      <c r="B450" s="65"/>
      <c r="C450" s="65"/>
      <c r="D450" s="65"/>
    </row>
    <row r="451" spans="1:4" s="66" customFormat="1" ht="17.100000000000001" customHeight="1" x14ac:dyDescent="0.25">
      <c r="A451" s="65"/>
      <c r="B451" s="65"/>
      <c r="C451" s="65"/>
      <c r="D451" s="65"/>
    </row>
    <row r="452" spans="1:4" s="66" customFormat="1" ht="17.100000000000001" customHeight="1" x14ac:dyDescent="0.25">
      <c r="A452" s="65"/>
      <c r="B452" s="65"/>
      <c r="C452" s="65"/>
      <c r="D452" s="65"/>
    </row>
    <row r="453" spans="1:4" s="66" customFormat="1" ht="17.100000000000001" customHeight="1" x14ac:dyDescent="0.25">
      <c r="A453" s="65"/>
      <c r="B453" s="65"/>
      <c r="C453" s="65"/>
      <c r="D453" s="65"/>
    </row>
    <row r="454" spans="1:4" s="66" customFormat="1" ht="17.100000000000001" customHeight="1" x14ac:dyDescent="0.25">
      <c r="A454" s="65"/>
      <c r="B454" s="65"/>
      <c r="C454" s="65"/>
      <c r="D454" s="65"/>
    </row>
    <row r="455" spans="1:4" s="66" customFormat="1" ht="17.100000000000001" customHeight="1" x14ac:dyDescent="0.25">
      <c r="A455" s="65"/>
      <c r="B455" s="65"/>
      <c r="C455" s="65"/>
      <c r="D455" s="65"/>
    </row>
    <row r="456" spans="1:4" s="66" customFormat="1" ht="17.100000000000001" customHeight="1" x14ac:dyDescent="0.25">
      <c r="A456" s="65"/>
      <c r="B456" s="65"/>
      <c r="C456" s="65"/>
      <c r="D456" s="65"/>
    </row>
    <row r="457" spans="1:4" s="66" customFormat="1" ht="17.100000000000001" customHeight="1" x14ac:dyDescent="0.25">
      <c r="A457" s="65"/>
      <c r="B457" s="65"/>
      <c r="C457" s="65"/>
      <c r="D457" s="65"/>
    </row>
    <row r="458" spans="1:4" s="66" customFormat="1" ht="17.100000000000001" customHeight="1" x14ac:dyDescent="0.25">
      <c r="A458" s="65"/>
      <c r="B458" s="65"/>
      <c r="C458" s="65"/>
      <c r="D458" s="65"/>
    </row>
    <row r="459" spans="1:4" s="66" customFormat="1" ht="17.100000000000001" customHeight="1" x14ac:dyDescent="0.25">
      <c r="A459" s="65"/>
      <c r="B459" s="65"/>
      <c r="C459" s="65"/>
      <c r="D459" s="65"/>
    </row>
    <row r="460" spans="1:4" s="66" customFormat="1" ht="17.100000000000001" customHeight="1" x14ac:dyDescent="0.25">
      <c r="A460" s="65"/>
      <c r="B460" s="65"/>
      <c r="C460" s="65"/>
      <c r="D460" s="65"/>
    </row>
    <row r="461" spans="1:4" s="66" customFormat="1" ht="17.100000000000001" customHeight="1" x14ac:dyDescent="0.25">
      <c r="A461" s="65"/>
      <c r="B461" s="65"/>
      <c r="C461" s="65"/>
      <c r="D461" s="65"/>
    </row>
    <row r="462" spans="1:4" s="66" customFormat="1" ht="17.100000000000001" customHeight="1" x14ac:dyDescent="0.25">
      <c r="A462" s="65"/>
      <c r="B462" s="65"/>
      <c r="C462" s="65"/>
      <c r="D462" s="65"/>
    </row>
    <row r="463" spans="1:4" s="66" customFormat="1" ht="17.100000000000001" customHeight="1" x14ac:dyDescent="0.25">
      <c r="A463" s="65"/>
      <c r="B463" s="65"/>
      <c r="C463" s="65"/>
      <c r="D463" s="65"/>
    </row>
    <row r="464" spans="1:4" s="66" customFormat="1" ht="17.100000000000001" customHeight="1" x14ac:dyDescent="0.25">
      <c r="A464" s="65"/>
      <c r="B464" s="65"/>
      <c r="C464" s="65"/>
      <c r="D464" s="65"/>
    </row>
    <row r="465" spans="1:4" s="66" customFormat="1" ht="17.100000000000001" customHeight="1" x14ac:dyDescent="0.25">
      <c r="A465" s="65"/>
      <c r="B465" s="65"/>
      <c r="C465" s="65"/>
      <c r="D465" s="65"/>
    </row>
    <row r="466" spans="1:4" s="66" customFormat="1" ht="17.100000000000001" customHeight="1" x14ac:dyDescent="0.25">
      <c r="A466" s="65"/>
      <c r="B466" s="65"/>
      <c r="C466" s="65"/>
      <c r="D466" s="65"/>
    </row>
    <row r="467" spans="1:4" s="66" customFormat="1" ht="17.100000000000001" customHeight="1" x14ac:dyDescent="0.25">
      <c r="A467" s="65"/>
      <c r="B467" s="65"/>
      <c r="C467" s="65"/>
      <c r="D467" s="65"/>
    </row>
    <row r="468" spans="1:4" s="66" customFormat="1" ht="17.100000000000001" customHeight="1" x14ac:dyDescent="0.25">
      <c r="A468" s="65"/>
      <c r="B468" s="65"/>
      <c r="C468" s="65"/>
      <c r="D468" s="65"/>
    </row>
    <row r="469" spans="1:4" s="66" customFormat="1" ht="17.100000000000001" customHeight="1" x14ac:dyDescent="0.25">
      <c r="A469" s="65"/>
      <c r="B469" s="65"/>
      <c r="C469" s="65"/>
      <c r="D469" s="65"/>
    </row>
    <row r="470" spans="1:4" s="66" customFormat="1" ht="17.100000000000001" customHeight="1" x14ac:dyDescent="0.25">
      <c r="A470" s="65"/>
      <c r="B470" s="65"/>
      <c r="C470" s="65"/>
      <c r="D470" s="65"/>
    </row>
    <row r="471" spans="1:4" s="66" customFormat="1" ht="17.100000000000001" customHeight="1" x14ac:dyDescent="0.25">
      <c r="A471" s="65"/>
      <c r="B471" s="65"/>
      <c r="C471" s="65"/>
      <c r="D471" s="65"/>
    </row>
    <row r="472" spans="1:4" s="66" customFormat="1" ht="17.100000000000001" customHeight="1" x14ac:dyDescent="0.25">
      <c r="A472" s="65"/>
      <c r="B472" s="65"/>
      <c r="C472" s="65"/>
      <c r="D472" s="65"/>
    </row>
    <row r="473" spans="1:4" s="66" customFormat="1" ht="17.100000000000001" customHeight="1" x14ac:dyDescent="0.25">
      <c r="A473" s="65"/>
      <c r="B473" s="65"/>
      <c r="C473" s="65"/>
      <c r="D473" s="65"/>
    </row>
    <row r="474" spans="1:4" s="66" customFormat="1" ht="17.100000000000001" customHeight="1" x14ac:dyDescent="0.25">
      <c r="A474" s="65"/>
      <c r="B474" s="65"/>
      <c r="C474" s="65"/>
      <c r="D474" s="65"/>
    </row>
    <row r="475" spans="1:4" s="66" customFormat="1" ht="17.100000000000001" customHeight="1" x14ac:dyDescent="0.25">
      <c r="A475" s="65"/>
      <c r="B475" s="65"/>
      <c r="C475" s="65"/>
      <c r="D475" s="65"/>
    </row>
    <row r="476" spans="1:4" s="66" customFormat="1" ht="17.100000000000001" customHeight="1" x14ac:dyDescent="0.25">
      <c r="A476" s="65"/>
      <c r="B476" s="65"/>
      <c r="C476" s="65"/>
      <c r="D476" s="65"/>
    </row>
    <row r="477" spans="1:4" s="66" customFormat="1" ht="17.100000000000001" customHeight="1" x14ac:dyDescent="0.25">
      <c r="A477" s="65"/>
      <c r="B477" s="65"/>
      <c r="C477" s="65"/>
      <c r="D477" s="65"/>
    </row>
    <row r="478" spans="1:4" s="66" customFormat="1" ht="17.100000000000001" customHeight="1" x14ac:dyDescent="0.25">
      <c r="A478" s="65"/>
      <c r="B478" s="65"/>
      <c r="C478" s="65"/>
      <c r="D478" s="65"/>
    </row>
    <row r="479" spans="1:4" s="66" customFormat="1" ht="17.100000000000001" customHeight="1" x14ac:dyDescent="0.25">
      <c r="A479" s="65"/>
      <c r="B479" s="65"/>
      <c r="C479" s="65"/>
      <c r="D479" s="65"/>
    </row>
    <row r="480" spans="1:4" s="66" customFormat="1" ht="17.100000000000001" customHeight="1" x14ac:dyDescent="0.25">
      <c r="A480" s="65"/>
      <c r="B480" s="65"/>
      <c r="C480" s="65"/>
      <c r="D480" s="65"/>
    </row>
    <row r="481" spans="1:4" s="66" customFormat="1" ht="17.100000000000001" customHeight="1" x14ac:dyDescent="0.25">
      <c r="A481" s="65"/>
      <c r="B481" s="65"/>
      <c r="C481" s="65"/>
      <c r="D481" s="65"/>
    </row>
    <row r="482" spans="1:4" s="66" customFormat="1" ht="17.100000000000001" customHeight="1" x14ac:dyDescent="0.25">
      <c r="A482" s="65"/>
      <c r="B482" s="65"/>
      <c r="C482" s="65"/>
      <c r="D482" s="65"/>
    </row>
    <row r="483" spans="1:4" s="66" customFormat="1" ht="17.100000000000001" customHeight="1" x14ac:dyDescent="0.25">
      <c r="A483" s="65"/>
      <c r="B483" s="65"/>
      <c r="C483" s="65"/>
      <c r="D483" s="65"/>
    </row>
    <row r="484" spans="1:4" s="66" customFormat="1" ht="17.100000000000001" customHeight="1" x14ac:dyDescent="0.25">
      <c r="A484" s="65"/>
      <c r="B484" s="65"/>
      <c r="C484" s="65"/>
      <c r="D484" s="65"/>
    </row>
    <row r="485" spans="1:4" s="66" customFormat="1" ht="17.100000000000001" customHeight="1" x14ac:dyDescent="0.25">
      <c r="A485" s="65"/>
      <c r="B485" s="65"/>
      <c r="C485" s="65"/>
      <c r="D485" s="65"/>
    </row>
    <row r="486" spans="1:4" s="66" customFormat="1" ht="17.100000000000001" customHeight="1" x14ac:dyDescent="0.25">
      <c r="A486" s="65"/>
      <c r="B486" s="65"/>
      <c r="C486" s="65"/>
      <c r="D486" s="65"/>
    </row>
    <row r="487" spans="1:4" s="66" customFormat="1" ht="17.100000000000001" customHeight="1" x14ac:dyDescent="0.25">
      <c r="A487" s="65"/>
      <c r="B487" s="65"/>
      <c r="C487" s="65"/>
      <c r="D487" s="65"/>
    </row>
    <row r="488" spans="1:4" s="66" customFormat="1" ht="17.100000000000001" customHeight="1" x14ac:dyDescent="0.25">
      <c r="A488" s="65"/>
      <c r="B488" s="65"/>
      <c r="C488" s="65"/>
      <c r="D488" s="65"/>
    </row>
    <row r="489" spans="1:4" s="66" customFormat="1" ht="17.100000000000001" customHeight="1" x14ac:dyDescent="0.25">
      <c r="A489" s="65"/>
      <c r="B489" s="65"/>
      <c r="C489" s="65"/>
      <c r="D489" s="65"/>
    </row>
    <row r="490" spans="1:4" s="66" customFormat="1" ht="17.100000000000001" customHeight="1" x14ac:dyDescent="0.25">
      <c r="A490" s="65"/>
      <c r="B490" s="65"/>
      <c r="C490" s="65"/>
      <c r="D490" s="65"/>
    </row>
    <row r="491" spans="1:4" s="66" customFormat="1" ht="17.100000000000001" customHeight="1" x14ac:dyDescent="0.25">
      <c r="A491" s="65"/>
      <c r="B491" s="65"/>
      <c r="C491" s="65"/>
      <c r="D491" s="65"/>
    </row>
    <row r="492" spans="1:4" s="66" customFormat="1" ht="17.100000000000001" customHeight="1" x14ac:dyDescent="0.25">
      <c r="A492" s="65"/>
      <c r="B492" s="65"/>
      <c r="C492" s="65"/>
      <c r="D492" s="65"/>
    </row>
    <row r="493" spans="1:4" s="66" customFormat="1" ht="17.100000000000001" customHeight="1" x14ac:dyDescent="0.25">
      <c r="A493" s="65"/>
      <c r="B493" s="65"/>
      <c r="C493" s="65"/>
      <c r="D493" s="65"/>
    </row>
    <row r="494" spans="1:4" s="66" customFormat="1" ht="17.100000000000001" customHeight="1" x14ac:dyDescent="0.25">
      <c r="A494" s="65"/>
      <c r="B494" s="65"/>
      <c r="C494" s="65"/>
      <c r="D494" s="65"/>
    </row>
    <row r="495" spans="1:4" s="66" customFormat="1" ht="17.100000000000001" customHeight="1" x14ac:dyDescent="0.25">
      <c r="A495" s="65"/>
      <c r="B495" s="65"/>
      <c r="C495" s="65"/>
      <c r="D495" s="65"/>
    </row>
    <row r="496" spans="1:4" s="66" customFormat="1" ht="17.100000000000001" customHeight="1" x14ac:dyDescent="0.25">
      <c r="A496" s="65"/>
      <c r="B496" s="65"/>
      <c r="C496" s="65"/>
      <c r="D496" s="65"/>
    </row>
    <row r="497" spans="1:4" s="66" customFormat="1" ht="17.100000000000001" customHeight="1" x14ac:dyDescent="0.25">
      <c r="A497" s="65"/>
      <c r="B497" s="65"/>
      <c r="C497" s="65"/>
      <c r="D497" s="65"/>
    </row>
    <row r="498" spans="1:4" s="66" customFormat="1" ht="17.100000000000001" customHeight="1" x14ac:dyDescent="0.25">
      <c r="A498" s="65"/>
      <c r="B498" s="65"/>
      <c r="C498" s="65"/>
      <c r="D498" s="65"/>
    </row>
    <row r="499" spans="1:4" s="66" customFormat="1" ht="17.100000000000001" customHeight="1" x14ac:dyDescent="0.25">
      <c r="A499" s="65"/>
      <c r="B499" s="65"/>
      <c r="C499" s="65"/>
      <c r="D499" s="65"/>
    </row>
    <row r="500" spans="1:4" s="66" customFormat="1" ht="17.100000000000001" customHeight="1" x14ac:dyDescent="0.25">
      <c r="A500" s="65"/>
      <c r="B500" s="65"/>
      <c r="C500" s="65"/>
      <c r="D500" s="65"/>
    </row>
    <row r="501" spans="1:4" s="66" customFormat="1" ht="17.100000000000001" customHeight="1" x14ac:dyDescent="0.25">
      <c r="A501" s="65"/>
      <c r="B501" s="65"/>
      <c r="C501" s="65"/>
      <c r="D501" s="65"/>
    </row>
    <row r="502" spans="1:4" s="66" customFormat="1" ht="17.100000000000001" customHeight="1" x14ac:dyDescent="0.25">
      <c r="A502" s="65"/>
      <c r="B502" s="65"/>
      <c r="C502" s="65"/>
      <c r="D502" s="65"/>
    </row>
    <row r="503" spans="1:4" s="66" customFormat="1" ht="17.100000000000001" customHeight="1" x14ac:dyDescent="0.25">
      <c r="A503" s="65"/>
      <c r="B503" s="65"/>
      <c r="C503" s="65"/>
      <c r="D503" s="65"/>
    </row>
    <row r="504" spans="1:4" s="66" customFormat="1" ht="17.100000000000001" customHeight="1" x14ac:dyDescent="0.25">
      <c r="A504" s="65"/>
      <c r="B504" s="65"/>
      <c r="C504" s="65"/>
      <c r="D504" s="65"/>
    </row>
    <row r="505" spans="1:4" s="66" customFormat="1" ht="17.100000000000001" customHeight="1" x14ac:dyDescent="0.25">
      <c r="A505" s="65"/>
      <c r="B505" s="65"/>
      <c r="C505" s="65"/>
      <c r="D505" s="65"/>
    </row>
    <row r="506" spans="1:4" s="66" customFormat="1" ht="17.100000000000001" customHeight="1" x14ac:dyDescent="0.25">
      <c r="A506" s="65"/>
      <c r="B506" s="65"/>
      <c r="C506" s="65"/>
      <c r="D506" s="65"/>
    </row>
    <row r="507" spans="1:4" s="66" customFormat="1" ht="17.100000000000001" customHeight="1" x14ac:dyDescent="0.25">
      <c r="A507" s="65"/>
      <c r="B507" s="65"/>
      <c r="C507" s="65"/>
      <c r="D507" s="65"/>
    </row>
    <row r="508" spans="1:4" s="66" customFormat="1" ht="17.100000000000001" customHeight="1" x14ac:dyDescent="0.25">
      <c r="A508" s="65"/>
      <c r="B508" s="65"/>
      <c r="C508" s="65"/>
      <c r="D508" s="65"/>
    </row>
    <row r="509" spans="1:4" s="66" customFormat="1" ht="17.100000000000001" customHeight="1" x14ac:dyDescent="0.25">
      <c r="A509" s="65"/>
      <c r="B509" s="65"/>
      <c r="C509" s="65"/>
      <c r="D509" s="65"/>
    </row>
    <row r="510" spans="1:4" s="66" customFormat="1" ht="17.100000000000001" customHeight="1" x14ac:dyDescent="0.25">
      <c r="A510" s="65"/>
      <c r="B510" s="65"/>
      <c r="C510" s="65"/>
      <c r="D510" s="65"/>
    </row>
    <row r="511" spans="1:4" s="66" customFormat="1" ht="17.100000000000001" customHeight="1" x14ac:dyDescent="0.25">
      <c r="A511" s="65"/>
      <c r="B511" s="65"/>
      <c r="C511" s="65"/>
      <c r="D511" s="65"/>
    </row>
    <row r="512" spans="1:4" s="66" customFormat="1" ht="17.100000000000001" customHeight="1" x14ac:dyDescent="0.25">
      <c r="A512" s="65"/>
      <c r="B512" s="65"/>
      <c r="C512" s="65"/>
      <c r="D512" s="65"/>
    </row>
    <row r="513" spans="1:4" s="66" customFormat="1" ht="17.100000000000001" customHeight="1" x14ac:dyDescent="0.25">
      <c r="A513" s="65"/>
      <c r="B513" s="65"/>
      <c r="C513" s="65"/>
      <c r="D513" s="65"/>
    </row>
    <row r="514" spans="1:4" s="66" customFormat="1" ht="17.100000000000001" customHeight="1" x14ac:dyDescent="0.25">
      <c r="A514" s="65"/>
      <c r="B514" s="65"/>
      <c r="C514" s="65"/>
      <c r="D514" s="65"/>
    </row>
    <row r="515" spans="1:4" s="66" customFormat="1" ht="17.100000000000001" customHeight="1" x14ac:dyDescent="0.25">
      <c r="A515" s="65"/>
      <c r="B515" s="65"/>
      <c r="C515" s="65"/>
      <c r="D515" s="65"/>
    </row>
    <row r="516" spans="1:4" s="66" customFormat="1" ht="17.100000000000001" customHeight="1" x14ac:dyDescent="0.25">
      <c r="A516" s="65"/>
      <c r="B516" s="65"/>
      <c r="C516" s="65"/>
      <c r="D516" s="65"/>
    </row>
    <row r="517" spans="1:4" s="66" customFormat="1" ht="17.100000000000001" customHeight="1" x14ac:dyDescent="0.25">
      <c r="A517" s="65"/>
      <c r="B517" s="65"/>
      <c r="C517" s="65"/>
      <c r="D517" s="65"/>
    </row>
    <row r="518" spans="1:4" s="66" customFormat="1" ht="17.100000000000001" customHeight="1" x14ac:dyDescent="0.25">
      <c r="A518" s="65"/>
      <c r="B518" s="65"/>
      <c r="C518" s="65"/>
      <c r="D518" s="65"/>
    </row>
    <row r="519" spans="1:4" s="66" customFormat="1" ht="17.100000000000001" customHeight="1" x14ac:dyDescent="0.25">
      <c r="A519" s="65"/>
      <c r="B519" s="65"/>
      <c r="C519" s="65"/>
      <c r="D519" s="65"/>
    </row>
    <row r="520" spans="1:4" s="66" customFormat="1" ht="17.100000000000001" customHeight="1" x14ac:dyDescent="0.25">
      <c r="A520" s="65"/>
      <c r="B520" s="65"/>
      <c r="C520" s="65"/>
      <c r="D520" s="65"/>
    </row>
    <row r="521" spans="1:4" s="66" customFormat="1" ht="17.100000000000001" customHeight="1" x14ac:dyDescent="0.25">
      <c r="A521" s="65"/>
      <c r="B521" s="65"/>
      <c r="C521" s="65"/>
      <c r="D521" s="65"/>
    </row>
    <row r="522" spans="1:4" s="66" customFormat="1" ht="17.100000000000001" customHeight="1" x14ac:dyDescent="0.25">
      <c r="A522" s="65"/>
      <c r="B522" s="65"/>
      <c r="C522" s="65"/>
      <c r="D522" s="65"/>
    </row>
    <row r="523" spans="1:4" s="66" customFormat="1" ht="17.100000000000001" customHeight="1" x14ac:dyDescent="0.25">
      <c r="A523" s="65"/>
      <c r="B523" s="65"/>
      <c r="C523" s="65"/>
      <c r="D523" s="65"/>
    </row>
    <row r="524" spans="1:4" s="66" customFormat="1" ht="17.100000000000001" customHeight="1" x14ac:dyDescent="0.25">
      <c r="A524" s="65"/>
      <c r="B524" s="65"/>
      <c r="C524" s="65"/>
      <c r="D524" s="65"/>
    </row>
    <row r="525" spans="1:4" s="66" customFormat="1" ht="17.100000000000001" customHeight="1" x14ac:dyDescent="0.25">
      <c r="A525" s="65"/>
      <c r="B525" s="65"/>
      <c r="C525" s="65"/>
      <c r="D525" s="65"/>
    </row>
    <row r="526" spans="1:4" s="66" customFormat="1" ht="17.100000000000001" customHeight="1" x14ac:dyDescent="0.25">
      <c r="A526" s="65"/>
      <c r="B526" s="65"/>
      <c r="C526" s="65"/>
      <c r="D526" s="65"/>
    </row>
    <row r="527" spans="1:4" s="66" customFormat="1" ht="17.100000000000001" customHeight="1" x14ac:dyDescent="0.25">
      <c r="A527" s="65"/>
      <c r="B527" s="65"/>
      <c r="C527" s="65"/>
      <c r="D527" s="65"/>
    </row>
    <row r="528" spans="1:4" s="66" customFormat="1" ht="17.100000000000001" customHeight="1" x14ac:dyDescent="0.25">
      <c r="A528" s="65"/>
      <c r="B528" s="65"/>
      <c r="C528" s="65"/>
      <c r="D528" s="65"/>
    </row>
  </sheetData>
  <sheetProtection sheet="1" scenarios="1" formatCells="0" formatColumns="0" formatRows="0" insertRows="0" insertHyperlinks="0" deleteRows="0" selectLockedCells="1"/>
  <mergeCells count="143">
    <mergeCell ref="G66:G69"/>
    <mergeCell ref="H66:H69"/>
    <mergeCell ref="H62:H65"/>
    <mergeCell ref="F62:F65"/>
    <mergeCell ref="G62:G65"/>
    <mergeCell ref="A46:A65"/>
    <mergeCell ref="B46:B65"/>
    <mergeCell ref="C46:C49"/>
    <mergeCell ref="D46:D49"/>
    <mergeCell ref="E46:E49"/>
    <mergeCell ref="F46:F49"/>
    <mergeCell ref="G46:G49"/>
    <mergeCell ref="G58:G61"/>
    <mergeCell ref="H58:H61"/>
    <mergeCell ref="H46:H49"/>
    <mergeCell ref="C78:C81"/>
    <mergeCell ref="D78:D81"/>
    <mergeCell ref="E82:E85"/>
    <mergeCell ref="F82:F85"/>
    <mergeCell ref="C82:C85"/>
    <mergeCell ref="D82:D85"/>
    <mergeCell ref="C3:E3"/>
    <mergeCell ref="A66:A85"/>
    <mergeCell ref="B66:B85"/>
    <mergeCell ref="C66:C69"/>
    <mergeCell ref="D66:D69"/>
    <mergeCell ref="E66:E69"/>
    <mergeCell ref="F66:F69"/>
    <mergeCell ref="D18:D21"/>
    <mergeCell ref="E18:E21"/>
    <mergeCell ref="F18:F21"/>
    <mergeCell ref="C70:C73"/>
    <mergeCell ref="D70:D73"/>
    <mergeCell ref="E70:E73"/>
    <mergeCell ref="F70:F73"/>
    <mergeCell ref="F58:F61"/>
    <mergeCell ref="C62:C65"/>
    <mergeCell ref="D62:D65"/>
    <mergeCell ref="E62:E65"/>
    <mergeCell ref="G70:G73"/>
    <mergeCell ref="H70:H73"/>
    <mergeCell ref="C74:C77"/>
    <mergeCell ref="D74:D77"/>
    <mergeCell ref="E74:E77"/>
    <mergeCell ref="F74:F77"/>
    <mergeCell ref="G74:G77"/>
    <mergeCell ref="H74:H77"/>
    <mergeCell ref="K46:K65"/>
    <mergeCell ref="C50:C53"/>
    <mergeCell ref="D50:D53"/>
    <mergeCell ref="E50:E53"/>
    <mergeCell ref="F50:F53"/>
    <mergeCell ref="G50:G53"/>
    <mergeCell ref="H50:H53"/>
    <mergeCell ref="C54:C57"/>
    <mergeCell ref="D54:D57"/>
    <mergeCell ref="E54:E57"/>
    <mergeCell ref="F54:F57"/>
    <mergeCell ref="G54:G57"/>
    <mergeCell ref="H54:H57"/>
    <mergeCell ref="C58:C61"/>
    <mergeCell ref="D58:D61"/>
    <mergeCell ref="E58:E61"/>
    <mergeCell ref="I46:J65"/>
    <mergeCell ref="K26:K45"/>
    <mergeCell ref="C30:C33"/>
    <mergeCell ref="D30:D33"/>
    <mergeCell ref="E30:E33"/>
    <mergeCell ref="F30:F33"/>
    <mergeCell ref="G30:G33"/>
    <mergeCell ref="H30:H33"/>
    <mergeCell ref="C34:C37"/>
    <mergeCell ref="D34:D37"/>
    <mergeCell ref="E34:E37"/>
    <mergeCell ref="F34:F37"/>
    <mergeCell ref="G34:G37"/>
    <mergeCell ref="H34:H37"/>
    <mergeCell ref="C38:C41"/>
    <mergeCell ref="D38:D41"/>
    <mergeCell ref="E38:E41"/>
    <mergeCell ref="F38:F41"/>
    <mergeCell ref="G38:G41"/>
    <mergeCell ref="H38:H41"/>
    <mergeCell ref="C42:C45"/>
    <mergeCell ref="D42:D45"/>
    <mergeCell ref="A26:A45"/>
    <mergeCell ref="B26:B45"/>
    <mergeCell ref="C26:C29"/>
    <mergeCell ref="D26:D29"/>
    <mergeCell ref="E26:E29"/>
    <mergeCell ref="F26:F29"/>
    <mergeCell ref="G26:G29"/>
    <mergeCell ref="A6:A25"/>
    <mergeCell ref="B6:B25"/>
    <mergeCell ref="C6:C9"/>
    <mergeCell ref="D6:D9"/>
    <mergeCell ref="E6:E9"/>
    <mergeCell ref="F6:F9"/>
    <mergeCell ref="G6:G9"/>
    <mergeCell ref="G18:G21"/>
    <mergeCell ref="A1:B1"/>
    <mergeCell ref="J1:K1"/>
    <mergeCell ref="K6:K25"/>
    <mergeCell ref="C10:C13"/>
    <mergeCell ref="D10:D13"/>
    <mergeCell ref="E10:E13"/>
    <mergeCell ref="F10:F13"/>
    <mergeCell ref="G10:G13"/>
    <mergeCell ref="H10:H13"/>
    <mergeCell ref="C14:C17"/>
    <mergeCell ref="D14:D17"/>
    <mergeCell ref="E14:E17"/>
    <mergeCell ref="F14:F17"/>
    <mergeCell ref="G14:G17"/>
    <mergeCell ref="H14:H17"/>
    <mergeCell ref="C18:C21"/>
    <mergeCell ref="C22:C25"/>
    <mergeCell ref="D22:D25"/>
    <mergeCell ref="H18:H21"/>
    <mergeCell ref="H92:I94"/>
    <mergeCell ref="H6:H9"/>
    <mergeCell ref="I6:J25"/>
    <mergeCell ref="H22:H25"/>
    <mergeCell ref="H1:I1"/>
    <mergeCell ref="E22:E25"/>
    <mergeCell ref="F22:F25"/>
    <mergeCell ref="G22:G25"/>
    <mergeCell ref="H26:H29"/>
    <mergeCell ref="I26:J45"/>
    <mergeCell ref="H42:H45"/>
    <mergeCell ref="E42:E45"/>
    <mergeCell ref="F42:F45"/>
    <mergeCell ref="G42:G45"/>
    <mergeCell ref="I66:J85"/>
    <mergeCell ref="H82:H85"/>
    <mergeCell ref="G82:G85"/>
    <mergeCell ref="E78:E81"/>
    <mergeCell ref="F78:F81"/>
    <mergeCell ref="G78:G81"/>
    <mergeCell ref="H78:H81"/>
    <mergeCell ref="I5:J5"/>
    <mergeCell ref="G87:K87"/>
    <mergeCell ref="K66:K85"/>
  </mergeCells>
  <conditionalFormatting sqref="K6:K85">
    <cfRule type="containsText" dxfId="63" priority="2" operator="containsText" text="ja">
      <formula>NOT(ISERROR(SEARCH("ja",K6)))</formula>
    </cfRule>
    <cfRule type="containsText" dxfId="62" priority="3" operator="containsText" text="nein">
      <formula>NOT(ISERROR(SEARCH("nein",K6)))</formula>
    </cfRule>
    <cfRule type="containsText" dxfId="61" priority="4" operator="containsText" text="no">
      <formula>NOT(ISERROR(SEARCH("no",K6)))</formula>
    </cfRule>
    <cfRule type="containsText" dxfId="60" priority="5" operator="containsText" text="yes">
      <formula>NOT(ISERROR(SEARCH("yes",K6)))</formula>
    </cfRule>
  </conditionalFormatting>
  <conditionalFormatting sqref="B6:J85">
    <cfRule type="expression" dxfId="59" priority="1">
      <formula>ISBLANK(B6)</formula>
    </cfRule>
  </conditionalFormatting>
  <dataValidations count="2">
    <dataValidation allowBlank="1" showInputMessage="1" showErrorMessage="1" promptTitle="INFO" prompt="DEUTSCH:_x000a_Das Datum in folgendem Format eingeben:_x000a_TT.MM.JJJJ (Das Format wird automatisch in TT-MMM-JJJJ umgewandelt)_x000a__x000a_ENGLISH_x000a_Enter date in following format:_x000a_DD.MM.YYYY (The format will be automatically converted to DD-MMM-YYYY)" sqref="D5" xr:uid="{A0259140-3C64-41AB-8FAA-F446A7F66AAE}"/>
    <dataValidation allowBlank="1" showInputMessage="1" showErrorMessage="1" promptTitle="INFO:" prompt="DEUTSCH:_x000a_Hinzufügen des Wertes in der Spalte &quot;Pkt.&quot; heutiges Datum und eingegebene SGM-Nr. werden automatisch ergänzt._x000a__x000a_ENGLISH:_x000a_Adding the Value into the Column &quot;#&quot;, current date and entered Machine Nr. will be automatically added accordingly." sqref="C6:C85" xr:uid="{0689C1F9-913B-4264-BBF0-BBB2B7738CE3}"/>
  </dataValidations>
  <pageMargins left="0.59055118110236227" right="0.27559055118110237" top="0.98425196850393704" bottom="0.51181102362204722" header="0.51181102362204722" footer="0.23622047244094491"/>
  <pageSetup paperSize="9" scale="31" fitToHeight="0" orientation="landscape" copies="5" r:id="rId1"/>
  <headerFooter alignWithMargins="0">
    <oddHeader>&amp;R&amp;G
&amp;L&amp;"Arial,Bold"&amp;22Produktion&amp;C&amp;"Arial,Bold"&amp;26Probleme / Massnahmen 2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Infos!$B$79:$B$80</xm:f>
          </x14:formula1>
          <xm:sqref>G87:K87</xm:sqref>
        </x14:dataValidation>
        <x14:dataValidation type="list" allowBlank="1" showInputMessage="1" showErrorMessage="1" xr:uid="{A5FA2E81-946F-4CEA-B25A-3894DD3CD7CB}">
          <x14:formula1>
            <xm:f>buff!$B$2:$B$5</xm:f>
          </x14:formula1>
          <xm:sqref>K26:K85</xm:sqref>
        </x14:dataValidation>
        <x14:dataValidation type="list" allowBlank="1" showInputMessage="1" showErrorMessage="1" xr:uid="{254665A2-AE42-48BD-B626-4A0113C7D9FD}">
          <x14:formula1>
            <xm:f>buff!$A$2:$A$5</xm:f>
          </x14:formula1>
          <xm:sqref>K6:K25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45F9-7100-44C5-B052-3CF4FACC4EDC}">
  <sheetPr codeName="Sheet2"/>
  <dimension ref="A1:C5"/>
  <sheetViews>
    <sheetView workbookViewId="0">
      <selection activeCell="A2" sqref="A2"/>
    </sheetView>
  </sheetViews>
  <sheetFormatPr defaultColWidth="9.109375" defaultRowHeight="13.2" x14ac:dyDescent="0.25"/>
  <cols>
    <col min="1" max="1" width="12.5546875" customWidth="1"/>
    <col min="3" max="3" width="23" bestFit="1" customWidth="1"/>
  </cols>
  <sheetData>
    <row r="1" spans="1:3" x14ac:dyDescent="0.25">
      <c r="A1">
        <f>Infos!Q3</f>
        <v>1</v>
      </c>
      <c r="B1" s="75" t="s">
        <v>147</v>
      </c>
      <c r="C1" s="75" t="s">
        <v>148</v>
      </c>
    </row>
    <row r="2" spans="1:3" x14ac:dyDescent="0.25">
      <c r="A2" t="str">
        <f>INDEX(B2:C5,1,$A$1)</f>
        <v>n.a</v>
      </c>
      <c r="B2" s="341" t="s">
        <v>144</v>
      </c>
      <c r="C2" s="341" t="s">
        <v>144</v>
      </c>
    </row>
    <row r="3" spans="1:3" x14ac:dyDescent="0.25">
      <c r="A3" t="str">
        <f t="shared" ref="A3:A5" si="0">INDEX(B3:C6,1,$A$1)</f>
        <v>Info</v>
      </c>
      <c r="B3" s="338" t="s">
        <v>143</v>
      </c>
      <c r="C3" s="338" t="s">
        <v>143</v>
      </c>
    </row>
    <row r="4" spans="1:3" x14ac:dyDescent="0.25">
      <c r="A4" t="str">
        <f t="shared" si="0"/>
        <v>JA</v>
      </c>
      <c r="B4" s="340" t="s">
        <v>145</v>
      </c>
      <c r="C4" s="340" t="s">
        <v>149</v>
      </c>
    </row>
    <row r="5" spans="1:3" x14ac:dyDescent="0.25">
      <c r="A5" t="str">
        <f t="shared" si="0"/>
        <v>NEIN</v>
      </c>
      <c r="B5" s="339" t="s">
        <v>146</v>
      </c>
      <c r="C5" s="339" t="s">
        <v>150</v>
      </c>
    </row>
  </sheetData>
  <sheetProtection sheet="1" scenarios="1" formatCells="0" formatColumns="0" formatRows="0" insertRows="0" insertHyperlinks="0" deleteRows="0"/>
  <pageMargins left="0.7" right="0.7" top="0.75" bottom="0.75" header="0.3" footer="0.3"/>
  <pageSetup paperSize="9" orientation="portrait" r:id="rId1"/>
  <headerFooter>
    <oddHeader>&amp;L&amp;"Arial"&amp;14
Set-Up Parameters - Sampling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pageSetUpPr fitToPage="1"/>
  </sheetPr>
  <dimension ref="A1:BN100"/>
  <sheetViews>
    <sheetView showGridLines="0" tabSelected="1" view="pageLayout" topLeftCell="G1" zoomScale="125" zoomScaleNormal="90" zoomScalePageLayoutView="125" workbookViewId="0">
      <selection activeCell="G6" sqref="G6:K6"/>
    </sheetView>
  </sheetViews>
  <sheetFormatPr defaultColWidth="3.6640625" defaultRowHeight="17.100000000000001" customHeight="1" x14ac:dyDescent="0.25"/>
  <cols>
    <col min="1" max="10" width="3.6640625" customWidth="1"/>
    <col min="11" max="11" width="4.33203125" customWidth="1"/>
    <col min="12" max="12" width="3.6640625" bestFit="1" customWidth="1"/>
    <col min="15" max="15" width="3.6640625" customWidth="1"/>
    <col min="16" max="16" width="4.5546875" bestFit="1" customWidth="1"/>
    <col min="18" max="18" width="4.6640625" customWidth="1"/>
    <col min="20" max="20" width="6.6640625" bestFit="1" customWidth="1"/>
    <col min="22" max="22" width="6.88671875" bestFit="1" customWidth="1"/>
    <col min="24" max="24" width="5" bestFit="1" customWidth="1"/>
    <col min="26" max="26" width="6.88671875" bestFit="1" customWidth="1"/>
    <col min="27" max="27" width="6.6640625" bestFit="1" customWidth="1"/>
    <col min="28" max="28" width="5.33203125" customWidth="1"/>
    <col min="29" max="29" width="3.6640625" customWidth="1"/>
    <col min="30" max="30" width="4.6640625" bestFit="1" customWidth="1"/>
    <col min="32" max="32" width="5" bestFit="1" customWidth="1"/>
    <col min="34" max="34" width="4.6640625" bestFit="1" customWidth="1"/>
    <col min="36" max="36" width="6.6640625" bestFit="1" customWidth="1"/>
    <col min="37" max="37" width="5.33203125" customWidth="1"/>
    <col min="38" max="38" width="5.5546875" customWidth="1"/>
  </cols>
  <sheetData>
    <row r="1" spans="3:66" ht="21" customHeight="1" x14ac:dyDescent="0.25">
      <c r="C1" s="409" t="str">
        <f>IF(Sprache="English","article description",IF(Sprache="Deutsch","Artikelbezeichnung",""))</f>
        <v>Artikelbezeichnung</v>
      </c>
      <c r="D1" s="410"/>
      <c r="E1" s="410"/>
      <c r="F1" s="410"/>
      <c r="G1" s="410"/>
      <c r="H1" s="411" t="str">
        <f>IF(Infos!F2&lt;&gt;"",Infos!F2,"")</f>
        <v/>
      </c>
      <c r="I1" s="411"/>
      <c r="J1" s="411"/>
      <c r="K1" s="411"/>
      <c r="L1" s="411"/>
      <c r="M1" s="411"/>
      <c r="N1" s="411"/>
      <c r="O1" s="411"/>
      <c r="P1" s="411"/>
      <c r="Q1" s="411"/>
      <c r="R1" s="411"/>
      <c r="S1" s="411"/>
      <c r="T1" s="127"/>
      <c r="U1" s="127"/>
      <c r="V1" s="421" t="str">
        <f>IF(Sprache="English","machine",IF(Sprache="Deutsch","Maschine",""))</f>
        <v>Maschine</v>
      </c>
      <c r="W1" s="421"/>
      <c r="X1" s="422"/>
      <c r="Y1" s="411" t="str">
        <f>IF(Infos!D3&lt;&gt;"",Infos!D3,"")</f>
        <v/>
      </c>
      <c r="Z1" s="411"/>
      <c r="AA1" s="411"/>
      <c r="AB1" s="411"/>
      <c r="AC1" s="411"/>
      <c r="AD1" s="127"/>
      <c r="AE1" s="421" t="s">
        <v>141</v>
      </c>
      <c r="AF1" s="422"/>
      <c r="AG1" s="422"/>
      <c r="AH1" s="411" t="str">
        <f>IF(Infos!B2&lt;&gt;"",Infos!B2,"")</f>
        <v/>
      </c>
      <c r="AI1" s="411"/>
      <c r="AJ1" s="411"/>
      <c r="AK1" s="411"/>
      <c r="AL1" s="411"/>
      <c r="AM1" s="411"/>
      <c r="AN1" s="135"/>
    </row>
    <row r="2" spans="3:66" ht="17.100000000000001" customHeight="1" x14ac:dyDescent="0.25">
      <c r="C2" s="593" t="str">
        <f>IF(Sprache="English","article",IF(Sprache="Deutsch","Artikel",""))</f>
        <v>Artikel</v>
      </c>
      <c r="D2" s="430"/>
      <c r="E2" s="430"/>
      <c r="F2" s="430"/>
      <c r="G2" s="430"/>
      <c r="H2" s="429" t="str">
        <f>IF(Infos!B3&lt;&gt;"",Infos!B3,"")</f>
        <v/>
      </c>
      <c r="I2" s="429"/>
      <c r="J2" s="429"/>
      <c r="K2" s="429"/>
      <c r="L2" s="429"/>
      <c r="M2" s="429"/>
      <c r="N2" s="429"/>
      <c r="O2" s="429"/>
      <c r="P2" s="429"/>
      <c r="Q2" s="429"/>
      <c r="R2" s="429"/>
      <c r="S2" s="429"/>
      <c r="T2" s="44"/>
      <c r="U2" s="44"/>
      <c r="V2" s="430" t="str">
        <f>IF(Sprache="English","mold number",IF(Sprache="Deutsch","WE Nr:",""))</f>
        <v>WE Nr:</v>
      </c>
      <c r="W2" s="430"/>
      <c r="X2" s="430"/>
      <c r="Y2" s="429" t="str">
        <f>IF(Infos!D2&lt;&gt;"",Infos!D2,"")</f>
        <v/>
      </c>
      <c r="Z2" s="429"/>
      <c r="AA2" s="429"/>
      <c r="AB2" s="429"/>
      <c r="AC2" s="429"/>
      <c r="AD2" s="44"/>
      <c r="AE2" s="430" t="s">
        <v>0</v>
      </c>
      <c r="AF2" s="431"/>
      <c r="AG2" s="234"/>
      <c r="AH2" s="406" t="str">
        <f>IF(Infos!B5&lt;&gt;"",Infos!B5,"")</f>
        <v/>
      </c>
      <c r="AI2" s="406"/>
      <c r="AJ2" s="406"/>
      <c r="AK2" s="406"/>
      <c r="AL2" s="406"/>
      <c r="AM2" s="406"/>
      <c r="AN2" s="136"/>
    </row>
    <row r="3" spans="3:66" ht="17.100000000000001" customHeight="1" thickBot="1" x14ac:dyDescent="0.3">
      <c r="C3" s="137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9"/>
    </row>
    <row r="4" spans="3:66" ht="16.5" customHeight="1" thickBot="1" x14ac:dyDescent="0.3">
      <c r="C4" s="492" t="str">
        <f>IF(Sprache="English","mold and machine",IF(Sprache="Deutsch","Werkzeug und Maschine",""))</f>
        <v>Werkzeug und Maschine</v>
      </c>
      <c r="D4" s="473"/>
      <c r="E4" s="473"/>
      <c r="F4" s="473"/>
      <c r="G4" s="473"/>
      <c r="H4" s="473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136"/>
    </row>
    <row r="5" spans="3:66" ht="16.5" customHeight="1" thickBot="1" x14ac:dyDescent="0.3">
      <c r="C5" s="575" t="str">
        <f>IF(Sprache="English","mold design",IF(Sprache="Deutsch","Werkzeugart",""))</f>
        <v>Werkzeugart</v>
      </c>
      <c r="D5" s="428"/>
      <c r="E5" s="428"/>
      <c r="F5" s="576"/>
      <c r="G5" s="434"/>
      <c r="H5" s="435"/>
      <c r="I5" s="435"/>
      <c r="J5" s="435"/>
      <c r="K5" s="435"/>
      <c r="L5" s="435"/>
      <c r="M5" s="436"/>
      <c r="N5" s="44"/>
      <c r="P5" s="594" t="str">
        <f>IF(Sprache="English","nozzle Ø / length",IF(Sprache="Deutsch","Düsen Ø/Länge",""))</f>
        <v>Düsen Ø/Länge</v>
      </c>
      <c r="Q5" s="594"/>
      <c r="R5" s="594"/>
      <c r="S5" s="594"/>
      <c r="T5" s="595"/>
      <c r="U5" s="140" t="s">
        <v>78</v>
      </c>
      <c r="V5" s="573">
        <v>6</v>
      </c>
      <c r="W5" s="574"/>
      <c r="X5" s="417">
        <v>20</v>
      </c>
      <c r="Y5" s="418"/>
      <c r="Z5" s="419"/>
      <c r="AA5" s="44"/>
      <c r="AB5" s="44"/>
      <c r="AE5" s="428" t="str">
        <f>IF(Sprache="English","barrel",IF(Sprache="Deutsch","Aggregat",""))</f>
        <v>Aggregat</v>
      </c>
      <c r="AF5" s="428"/>
      <c r="AG5" s="428"/>
      <c r="AH5" s="231"/>
      <c r="AI5" s="434" t="s">
        <v>152</v>
      </c>
      <c r="AJ5" s="435"/>
      <c r="AK5" s="435"/>
      <c r="AL5" s="435"/>
      <c r="AM5" s="436"/>
      <c r="AN5" s="136"/>
      <c r="BA5" s="199" t="str">
        <f>AH1&amp;"#"&amp;AH2&amp;"#"&amp;Y2&amp;"#"&amp;Y1&amp;"#"&amp;U7&amp;"#"&amp;"ERW Produktion"</f>
        <v>####Ø #ERW Produktion</v>
      </c>
    </row>
    <row r="6" spans="3:66" ht="17.100000000000001" customHeight="1" thickBot="1" x14ac:dyDescent="0.3">
      <c r="C6" s="539" t="str">
        <f>IF(Sprache="English","number of cavities",IF(Sprache="Deutsch","Kavitätenzahl",""))</f>
        <v>Kavitätenzahl</v>
      </c>
      <c r="D6" s="482"/>
      <c r="E6" s="482"/>
      <c r="F6" s="482"/>
      <c r="G6" s="577"/>
      <c r="H6" s="578"/>
      <c r="I6" s="578"/>
      <c r="J6" s="578"/>
      <c r="K6" s="579"/>
      <c r="L6" s="44"/>
      <c r="M6" s="44"/>
      <c r="N6" s="44"/>
      <c r="P6" s="596" t="str">
        <f>IF(Sprache="English","nozzle type",IF(Sprache="Deutsch","Düsenart",""))</f>
        <v>Düsenart</v>
      </c>
      <c r="Q6" s="596"/>
      <c r="R6" s="596"/>
      <c r="S6" s="596"/>
      <c r="T6" s="597"/>
      <c r="U6" s="489" t="s">
        <v>157</v>
      </c>
      <c r="V6" s="490"/>
      <c r="W6" s="490"/>
      <c r="X6" s="490"/>
      <c r="Y6" s="490"/>
      <c r="Z6" s="491"/>
      <c r="AA6" s="44"/>
      <c r="AB6" s="44"/>
      <c r="AE6" s="420" t="s">
        <v>29</v>
      </c>
      <c r="AF6" s="420"/>
      <c r="AG6" s="420"/>
      <c r="AH6" s="434" t="s">
        <v>153</v>
      </c>
      <c r="AI6" s="435"/>
      <c r="AJ6" s="435"/>
      <c r="AK6" s="435"/>
      <c r="AL6" s="435"/>
      <c r="AM6" s="436"/>
      <c r="AN6" s="136"/>
    </row>
    <row r="7" spans="3:66" ht="17.100000000000001" customHeight="1" thickBot="1" x14ac:dyDescent="0.3">
      <c r="C7" s="539" t="str">
        <f>IF(Sprache="English","number of cores",IF(Sprache="Deutsch","Kernzüge",""))</f>
        <v>Kernzüge</v>
      </c>
      <c r="D7" s="482"/>
      <c r="E7" s="482"/>
      <c r="F7" s="482"/>
      <c r="G7" s="434" t="s">
        <v>158</v>
      </c>
      <c r="H7" s="435"/>
      <c r="I7" s="435"/>
      <c r="J7" s="435"/>
      <c r="K7" s="436"/>
      <c r="L7" s="44"/>
      <c r="M7" s="44"/>
      <c r="N7" s="44"/>
      <c r="P7" s="596" t="str">
        <f>IF(Sprache="English","barrel",IF(Sprache="Deutsch","Zylinder",""))</f>
        <v>Zylinder</v>
      </c>
      <c r="Q7" s="596"/>
      <c r="R7" s="596"/>
      <c r="S7" s="596"/>
      <c r="T7" s="596"/>
      <c r="U7" s="423" t="str">
        <f>"Ø " &amp; Infos!D7</f>
        <v xml:space="preserve">Ø </v>
      </c>
      <c r="V7" s="423"/>
      <c r="W7" s="423"/>
      <c r="X7" s="423"/>
      <c r="Y7" s="423"/>
      <c r="Z7" s="423"/>
      <c r="AA7" s="44"/>
      <c r="AB7" s="44"/>
      <c r="AE7" s="498" t="str">
        <f>IF(Sprache="English","gripper number",IF(Sprache="Deutsch","Greifer Nr.",""))</f>
        <v>Greifer Nr.</v>
      </c>
      <c r="AF7" s="499"/>
      <c r="AG7" s="499"/>
      <c r="AH7" s="500"/>
      <c r="AI7" s="487"/>
      <c r="AJ7" s="488"/>
      <c r="AK7" s="488"/>
      <c r="AL7" s="488"/>
      <c r="AM7" s="488"/>
      <c r="AN7" s="141"/>
    </row>
    <row r="8" spans="3:66" ht="17.100000000000001" customHeight="1" x14ac:dyDescent="0.25">
      <c r="C8" s="299"/>
      <c r="D8" s="234"/>
      <c r="E8" s="234"/>
      <c r="F8" s="234"/>
      <c r="G8" s="275"/>
      <c r="H8" s="275"/>
      <c r="I8" s="275"/>
      <c r="J8" s="275"/>
      <c r="K8" s="275"/>
      <c r="L8" s="44"/>
      <c r="M8" s="44"/>
      <c r="N8" s="44"/>
      <c r="P8" s="234"/>
      <c r="Q8" s="234"/>
      <c r="R8" s="234"/>
      <c r="S8" s="234"/>
      <c r="T8" s="234"/>
      <c r="U8" s="225"/>
      <c r="V8" s="225"/>
      <c r="W8" s="225"/>
      <c r="X8" s="225"/>
      <c r="Y8" s="225"/>
      <c r="Z8" s="225"/>
      <c r="AA8" s="44"/>
      <c r="AB8" s="44"/>
      <c r="AE8" s="482" t="str">
        <f>IF(Sprache="English","clamping force",IF(Sprache="Deutsch","Schliesskraft",""))</f>
        <v>Schliesskraft</v>
      </c>
      <c r="AF8" s="482"/>
      <c r="AG8" s="482"/>
      <c r="AH8" s="501"/>
      <c r="AI8" s="504"/>
      <c r="AJ8" s="505"/>
      <c r="AK8" s="505"/>
      <c r="AL8" s="505"/>
      <c r="AM8" s="505"/>
      <c r="AN8" s="136"/>
    </row>
    <row r="9" spans="3:66" ht="17.100000000000001" customHeight="1" thickBot="1" x14ac:dyDescent="0.3">
      <c r="C9" s="137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9"/>
    </row>
    <row r="10" spans="3:66" ht="17.100000000000001" customHeight="1" x14ac:dyDescent="0.4">
      <c r="C10" s="571" t="s">
        <v>1</v>
      </c>
      <c r="D10" s="572"/>
      <c r="E10" s="44"/>
      <c r="F10" s="44"/>
      <c r="G10" s="44"/>
      <c r="H10" s="44"/>
      <c r="I10" s="197"/>
      <c r="J10" s="197"/>
      <c r="K10" s="197"/>
      <c r="L10" s="197"/>
      <c r="M10" s="197"/>
      <c r="N10" s="44"/>
      <c r="Q10" s="473" t="str">
        <f>IF(Sprache="English","color",IF(Sprache="Deutsch","Farbe",""))</f>
        <v>Farbe</v>
      </c>
      <c r="R10" s="473"/>
      <c r="S10" s="44"/>
      <c r="T10" s="127"/>
      <c r="U10" s="127"/>
      <c r="V10" s="127"/>
      <c r="W10" s="127"/>
      <c r="X10" s="127"/>
      <c r="Y10" s="44"/>
      <c r="AA10" s="473" t="str">
        <f>IF(Sprache="English","part data",IF(Sprache="Deutsch","Teiledaten",""))</f>
        <v>Teiledaten</v>
      </c>
      <c r="AB10" s="473"/>
      <c r="AC10" s="473"/>
      <c r="AD10" s="234"/>
      <c r="AE10" s="234"/>
      <c r="AF10" s="234"/>
      <c r="AG10" s="234"/>
      <c r="AH10" s="424" t="str">
        <f>IF(Sprache="English","actual value",IF(Sprache="Deutsch","IST Werte",""))</f>
        <v>IST Werte</v>
      </c>
      <c r="AI10" s="424"/>
      <c r="AJ10" s="424"/>
      <c r="AK10" s="481" t="str">
        <f>IF(Sprache="English","process range",IF(Sprache="Deutsch","Prozessfenster",""))</f>
        <v>Prozessfenster</v>
      </c>
      <c r="AL10" s="481"/>
      <c r="AM10" s="481"/>
      <c r="AN10" s="136"/>
      <c r="AS10" s="200" t="s">
        <v>124</v>
      </c>
      <c r="AT10" s="131"/>
      <c r="AU10" s="131"/>
      <c r="AV10" s="132"/>
      <c r="AW10" s="132"/>
      <c r="AX10" s="132"/>
      <c r="AY10" s="132"/>
      <c r="AZ10" s="132"/>
      <c r="BA10" s="132"/>
      <c r="BB10" s="132"/>
      <c r="BC10" s="132"/>
      <c r="BD10" s="132"/>
      <c r="BE10" s="132"/>
      <c r="BF10" s="132"/>
      <c r="BG10" s="132"/>
      <c r="BH10" s="132"/>
      <c r="BI10" s="133"/>
      <c r="BJ10" s="134"/>
      <c r="BK10" s="134"/>
      <c r="BL10" s="134"/>
      <c r="BM10" s="134"/>
      <c r="BN10" s="134"/>
    </row>
    <row r="11" spans="3:66" ht="17.100000000000001" customHeight="1" x14ac:dyDescent="0.4">
      <c r="C11" s="533" t="str">
        <f>IF(Sprache="English","description",IF(Sprache="Deutsch","Bezeichnung",""))</f>
        <v>Bezeichnung</v>
      </c>
      <c r="D11" s="462"/>
      <c r="E11" s="462"/>
      <c r="F11" s="462"/>
      <c r="G11" s="142"/>
      <c r="H11" s="143"/>
      <c r="I11" s="511" t="str">
        <f>""&amp;Infos!D4</f>
        <v/>
      </c>
      <c r="J11" s="512"/>
      <c r="K11" s="512"/>
      <c r="L11" s="512"/>
      <c r="M11" s="513"/>
      <c r="N11" s="44"/>
      <c r="Q11" s="428" t="str">
        <f>IF(Sprache="English","color",IF(Sprache="Deutsch","Farbe",""))</f>
        <v>Farbe</v>
      </c>
      <c r="R11" s="428"/>
      <c r="S11" s="507"/>
      <c r="T11" s="522"/>
      <c r="U11" s="426"/>
      <c r="V11" s="426"/>
      <c r="W11" s="426"/>
      <c r="X11" s="531"/>
      <c r="Y11" s="44"/>
      <c r="AA11" s="428" t="str">
        <f>IF(Sprache="English","change over weight/shot",IF(Sprache="Deutsch","Umschaltgewicht/Schuss",""))</f>
        <v>Umschaltgewicht/Schuss</v>
      </c>
      <c r="AB11" s="428"/>
      <c r="AC11" s="428"/>
      <c r="AD11" s="428"/>
      <c r="AE11" s="428"/>
      <c r="AF11" s="428"/>
      <c r="AG11" s="231"/>
      <c r="AH11" s="425"/>
      <c r="AI11" s="426"/>
      <c r="AJ11" s="427"/>
      <c r="AK11" s="235" t="str">
        <f>IF(AH11&lt;&gt;"",AH11*0.95,"")</f>
        <v/>
      </c>
      <c r="AL11" s="485" t="str">
        <f>IF(AH11&lt;&gt;"",AH11*1.05,"")</f>
        <v/>
      </c>
      <c r="AM11" s="486"/>
      <c r="AN11" s="136"/>
      <c r="AS11" s="200" t="s">
        <v>142</v>
      </c>
      <c r="AT11" s="131"/>
      <c r="AU11" s="131"/>
      <c r="AV11" s="132"/>
      <c r="AW11" s="132"/>
      <c r="AX11" s="132"/>
      <c r="AY11" s="132"/>
      <c r="AZ11" s="132"/>
      <c r="BA11" s="132"/>
      <c r="BB11" s="132"/>
      <c r="BC11" s="132"/>
      <c r="BD11" s="132"/>
      <c r="BE11" s="132"/>
      <c r="BF11" s="132"/>
      <c r="BG11" s="132"/>
      <c r="BH11" s="132"/>
      <c r="BI11" s="133"/>
      <c r="BJ11" s="134"/>
      <c r="BK11" s="134"/>
      <c r="BL11" s="134"/>
      <c r="BM11" s="134"/>
      <c r="BN11" s="134"/>
    </row>
    <row r="12" spans="3:66" ht="17.100000000000001" customHeight="1" x14ac:dyDescent="0.25">
      <c r="C12" s="521" t="s">
        <v>114</v>
      </c>
      <c r="D12" s="420"/>
      <c r="E12" s="130"/>
      <c r="F12" s="130"/>
      <c r="G12" s="130"/>
      <c r="H12" s="145"/>
      <c r="I12" s="514"/>
      <c r="J12" s="503"/>
      <c r="K12" s="503"/>
      <c r="L12" s="503"/>
      <c r="M12" s="515"/>
      <c r="N12" s="44"/>
      <c r="Q12" s="428" t="s">
        <v>114</v>
      </c>
      <c r="R12" s="428"/>
      <c r="S12" s="507"/>
      <c r="T12" s="494"/>
      <c r="U12" s="495"/>
      <c r="V12" s="495"/>
      <c r="W12" s="495"/>
      <c r="X12" s="496"/>
      <c r="Y12" s="44"/>
      <c r="AA12" s="482" t="str">
        <f>IF(Sprache="English","shot weight",IF(Sprache="Deutsch","Schussgewicht",""))</f>
        <v>Schussgewicht</v>
      </c>
      <c r="AB12" s="482"/>
      <c r="AC12" s="482"/>
      <c r="AD12" s="482"/>
      <c r="AE12" s="232"/>
      <c r="AF12" s="232"/>
      <c r="AG12" s="232"/>
      <c r="AH12" s="502"/>
      <c r="AI12" s="503"/>
      <c r="AJ12" s="503"/>
      <c r="AK12" s="235" t="str">
        <f t="shared" ref="AK12:AK14" si="0">IF(AH12&lt;&gt;"",AH12*0.95,"")</f>
        <v/>
      </c>
      <c r="AL12" s="485" t="str">
        <f t="shared" ref="AL12:AL14" si="1">IF(AH12&lt;&gt;"",AH12*1.05,"")</f>
        <v/>
      </c>
      <c r="AM12" s="486"/>
      <c r="AN12" s="136"/>
      <c r="AS12" s="199" t="str">
        <f>AH1&amp;"#"&amp;AH2&amp;"#"&amp;Y2</f>
        <v>##</v>
      </c>
    </row>
    <row r="13" spans="3:66" ht="17.100000000000001" customHeight="1" thickBot="1" x14ac:dyDescent="0.3">
      <c r="C13" s="521" t="str">
        <f>IF(Sprache="English","recycling",IF(Sprache="Deutsch","Regeneratanteil",""))</f>
        <v>Regeneratanteil</v>
      </c>
      <c r="D13" s="420"/>
      <c r="E13" s="420"/>
      <c r="F13" s="420"/>
      <c r="G13" s="130"/>
      <c r="H13" s="145"/>
      <c r="I13" s="508"/>
      <c r="J13" s="509"/>
      <c r="K13" s="509"/>
      <c r="L13" s="509"/>
      <c r="M13" s="510"/>
      <c r="N13" s="44"/>
      <c r="Q13" s="482" t="str">
        <f>IF(Sprache="English","amount",IF(Sprache="Deutsch","Zugabe",""))</f>
        <v>Zugabe</v>
      </c>
      <c r="R13" s="482"/>
      <c r="S13" s="482"/>
      <c r="T13" s="483"/>
      <c r="U13" s="484"/>
      <c r="V13" s="484"/>
      <c r="W13" s="484"/>
      <c r="X13" s="484"/>
      <c r="Y13" s="238"/>
      <c r="AA13" s="482" t="str">
        <f>IF(Sprache="English","sprue weight",IF(Sprache="Deutsch","Angussgewicht",""))</f>
        <v>Angussgewicht</v>
      </c>
      <c r="AB13" s="482"/>
      <c r="AC13" s="482"/>
      <c r="AD13" s="482"/>
      <c r="AE13" s="232"/>
      <c r="AF13" s="232"/>
      <c r="AG13" s="232"/>
      <c r="AH13" s="502"/>
      <c r="AI13" s="503"/>
      <c r="AJ13" s="503"/>
      <c r="AK13" s="235" t="str">
        <f t="shared" si="0"/>
        <v/>
      </c>
      <c r="AL13" s="485" t="str">
        <f t="shared" si="1"/>
        <v/>
      </c>
      <c r="AM13" s="486"/>
      <c r="AN13" s="136"/>
    </row>
    <row r="14" spans="3:66" ht="17.100000000000001" customHeight="1" thickBot="1" x14ac:dyDescent="0.3">
      <c r="C14" s="539" t="str">
        <f>IF(Sprache="English","drying h/C°",IF(Sprache="Deutsch","Vortrocknung h/C°",""))</f>
        <v>Vortrocknung h/C°</v>
      </c>
      <c r="D14" s="482"/>
      <c r="E14" s="482"/>
      <c r="F14" s="482"/>
      <c r="G14" s="482"/>
      <c r="H14" s="143"/>
      <c r="I14" s="516"/>
      <c r="J14" s="517"/>
      <c r="K14" s="553"/>
      <c r="L14" s="553"/>
      <c r="M14" s="554"/>
      <c r="N14" s="44"/>
      <c r="Q14" s="482" t="str">
        <f>IF(Sprache="English","coloring device",IF(Sprache="Deutsch","Farbdosiergerät",""))</f>
        <v>Farbdosiergerät</v>
      </c>
      <c r="R14" s="482"/>
      <c r="S14" s="497"/>
      <c r="T14" s="434" t="s">
        <v>158</v>
      </c>
      <c r="U14" s="435"/>
      <c r="V14" s="435"/>
      <c r="W14" s="435"/>
      <c r="X14" s="436"/>
      <c r="Y14" s="44"/>
      <c r="AA14" s="506" t="str">
        <f>IF(Sprache="English","part weight (no sprue)",IF(Sprache="Deutsch","Teilgewicht ohne Anguss",""))</f>
        <v>Teilgewicht ohne Anguss</v>
      </c>
      <c r="AB14" s="506"/>
      <c r="AC14" s="506"/>
      <c r="AD14" s="506"/>
      <c r="AE14" s="506"/>
      <c r="AF14" s="506"/>
      <c r="AG14" s="506"/>
      <c r="AH14" s="479" t="str">
        <f>IF(AH12&lt;&gt;"",AH12-AH13,"")</f>
        <v/>
      </c>
      <c r="AI14" s="480"/>
      <c r="AJ14" s="480"/>
      <c r="AK14" s="235" t="str">
        <f t="shared" si="0"/>
        <v/>
      </c>
      <c r="AL14" s="485" t="str">
        <f t="shared" si="1"/>
        <v/>
      </c>
      <c r="AM14" s="486"/>
      <c r="AN14" s="136"/>
    </row>
    <row r="15" spans="3:66" ht="17.100000000000001" customHeight="1" thickBot="1" x14ac:dyDescent="0.3">
      <c r="C15" s="147"/>
      <c r="D15" s="148"/>
      <c r="E15" s="148"/>
      <c r="F15" s="148"/>
      <c r="G15" s="148"/>
      <c r="H15" s="148"/>
      <c r="I15" s="138"/>
      <c r="J15" s="44"/>
      <c r="K15" s="44"/>
      <c r="L15" s="44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9"/>
    </row>
    <row r="16" spans="3:66" ht="17.100000000000001" customHeight="1" thickBot="1" x14ac:dyDescent="0.3">
      <c r="C16" s="492" t="str">
        <f>IF(Sprache="English","parameter",IF(Sprache="Deutsch","Einstellwerte",""))</f>
        <v>Einstellwerte</v>
      </c>
      <c r="D16" s="493"/>
      <c r="E16" s="493"/>
      <c r="F16" s="493"/>
      <c r="G16" s="493"/>
      <c r="H16" s="127"/>
      <c r="I16" s="127"/>
      <c r="J16" s="127"/>
      <c r="K16" s="244"/>
      <c r="L16" s="127"/>
      <c r="Q16" s="473" t="str">
        <f>IF(Sprache="English","charging",IF(Sprache="Deutsch","Dosieren",""))</f>
        <v>Dosieren</v>
      </c>
      <c r="R16" s="473"/>
      <c r="S16" s="473"/>
      <c r="AB16" s="44"/>
      <c r="AE16" s="473" t="str">
        <f>IF(Sprache="English","injection profile",IF(Sprache="Deutsch","Einpritzprofil",""))</f>
        <v>Einpritzprofil</v>
      </c>
      <c r="AF16" s="473"/>
      <c r="AG16" s="473"/>
      <c r="AH16" s="473"/>
      <c r="AI16" s="473"/>
      <c r="AN16" s="136"/>
    </row>
    <row r="17" spans="3:43" ht="17.100000000000001" customHeight="1" thickBot="1" x14ac:dyDescent="0.3">
      <c r="C17" s="533" t="str">
        <f>IF(Sprache="English","max. injection pressure set",IF(Sprache="Deutsch","Spritzdruckbegrenzung",""))</f>
        <v>Spritzdruckbegrenzung</v>
      </c>
      <c r="D17" s="462"/>
      <c r="E17" s="462"/>
      <c r="F17" s="462"/>
      <c r="G17" s="462"/>
      <c r="H17" s="462"/>
      <c r="I17" s="529"/>
      <c r="J17" s="530"/>
      <c r="K17" s="426"/>
      <c r="L17" s="531"/>
      <c r="M17" s="327"/>
      <c r="N17" s="327"/>
      <c r="O17" s="327"/>
      <c r="T17" s="434" t="s">
        <v>89</v>
      </c>
      <c r="U17" s="435"/>
      <c r="V17" s="436"/>
      <c r="W17" s="434" t="s">
        <v>84</v>
      </c>
      <c r="X17" s="435"/>
      <c r="Y17" s="436"/>
      <c r="AN17" s="136"/>
    </row>
    <row r="18" spans="3:43" ht="17.100000000000001" customHeight="1" thickBot="1" x14ac:dyDescent="0.3">
      <c r="C18" s="521" t="str">
        <f>IF(Sprache="English","change over point",IF(Sprache="Deutsch","Umschaltpunkt",""))</f>
        <v>Umschaltpunkt</v>
      </c>
      <c r="D18" s="420"/>
      <c r="E18" s="420"/>
      <c r="F18" s="420"/>
      <c r="G18" s="420"/>
      <c r="H18" s="532"/>
      <c r="I18" s="522"/>
      <c r="J18" s="426"/>
      <c r="K18" s="426"/>
      <c r="L18" s="254" t="str">
        <f>IF(mmorccm="mm","mm",IF(mmorccm="ccm","ccm",""))</f>
        <v>ccm</v>
      </c>
      <c r="M18" s="327"/>
      <c r="N18" s="327"/>
      <c r="O18" s="327"/>
      <c r="Q18" s="142" t="s">
        <v>51</v>
      </c>
      <c r="R18" s="142"/>
      <c r="S18" s="149"/>
      <c r="T18" s="528"/>
      <c r="U18" s="528"/>
      <c r="V18" s="528"/>
      <c r="W18" s="525"/>
      <c r="X18" s="526"/>
      <c r="Y18" s="527"/>
      <c r="Z18" s="444"/>
      <c r="AA18" s="445"/>
      <c r="AH18" s="434" t="s">
        <v>85</v>
      </c>
      <c r="AI18" s="435"/>
      <c r="AJ18" s="436"/>
      <c r="AK18" s="441" t="str">
        <f>IF(mmorccm="mm","mm",IF(mmorccm="ccm","ccm",""))</f>
        <v>ccm</v>
      </c>
      <c r="AL18" s="442"/>
      <c r="AM18" s="443"/>
      <c r="AN18" s="136"/>
    </row>
    <row r="19" spans="3:43" ht="17.100000000000001" customHeight="1" x14ac:dyDescent="0.25">
      <c r="C19" s="521" t="str">
        <f>IF(Sprache="English","metering stroke",IF(Sprache="Deutsch","Dosierweg",""))</f>
        <v>Dosierweg</v>
      </c>
      <c r="D19" s="420"/>
      <c r="E19" s="420"/>
      <c r="F19" s="420"/>
      <c r="G19" s="420"/>
      <c r="H19" s="420"/>
      <c r="I19" s="522"/>
      <c r="J19" s="426"/>
      <c r="K19" s="426"/>
      <c r="L19" s="254" t="str">
        <f>IF(mmorccm="mm","mm",IF(mmorccm="ccm","ccm",""))</f>
        <v>ccm</v>
      </c>
      <c r="M19" s="327"/>
      <c r="N19" s="327"/>
      <c r="O19" s="327"/>
      <c r="Q19" s="130" t="s">
        <v>52</v>
      </c>
      <c r="R19" s="130"/>
      <c r="S19" s="150"/>
      <c r="T19" s="472"/>
      <c r="U19" s="472"/>
      <c r="V19" s="472"/>
      <c r="W19" s="471"/>
      <c r="X19" s="472"/>
      <c r="Y19" s="472"/>
      <c r="Z19" s="444"/>
      <c r="AA19" s="445"/>
      <c r="AB19" s="151"/>
      <c r="AE19" s="142" t="s">
        <v>2</v>
      </c>
      <c r="AF19" s="142" t="s">
        <v>41</v>
      </c>
      <c r="AG19" s="143"/>
      <c r="AH19" s="447"/>
      <c r="AI19" s="447"/>
      <c r="AJ19" s="456"/>
      <c r="AK19" s="474"/>
      <c r="AL19" s="475"/>
      <c r="AM19" s="476"/>
      <c r="AN19" s="136"/>
    </row>
    <row r="20" spans="3:43" ht="17.100000000000001" customHeight="1" x14ac:dyDescent="0.25">
      <c r="C20" s="521" t="str">
        <f>IF(Sprache="English","cooling time",IF(Sprache="Deutsch","Kühlzeit",""))</f>
        <v>Kühlzeit</v>
      </c>
      <c r="D20" s="420"/>
      <c r="E20" s="420"/>
      <c r="F20" s="420"/>
      <c r="G20" s="420"/>
      <c r="H20" s="420"/>
      <c r="I20" s="518"/>
      <c r="J20" s="519"/>
      <c r="K20" s="519"/>
      <c r="L20" s="520"/>
      <c r="M20" s="327"/>
      <c r="N20" s="327"/>
      <c r="O20" s="327"/>
      <c r="Q20" s="130" t="s">
        <v>53</v>
      </c>
      <c r="R20" s="130"/>
      <c r="S20" s="150"/>
      <c r="T20" s="472"/>
      <c r="U20" s="472"/>
      <c r="V20" s="472"/>
      <c r="W20" s="471"/>
      <c r="X20" s="472"/>
      <c r="Y20" s="472"/>
      <c r="Z20" s="444"/>
      <c r="AA20" s="445"/>
      <c r="AB20" s="44"/>
      <c r="AE20" s="130" t="s">
        <v>3</v>
      </c>
      <c r="AF20" s="130" t="s">
        <v>42</v>
      </c>
      <c r="AG20" s="145"/>
      <c r="AH20" s="447"/>
      <c r="AI20" s="447"/>
      <c r="AJ20" s="456"/>
      <c r="AK20" s="446"/>
      <c r="AL20" s="447"/>
      <c r="AM20" s="448"/>
      <c r="AN20" s="136"/>
    </row>
    <row r="21" spans="3:43" ht="17.100000000000001" customHeight="1" x14ac:dyDescent="0.25">
      <c r="C21" s="521" t="str">
        <f>IF(Sprache="English","holding pressure time",IF(Sprache="Deutsch","Nachdruckzeit",""))</f>
        <v>Nachdruckzeit</v>
      </c>
      <c r="D21" s="420"/>
      <c r="E21" s="420"/>
      <c r="F21" s="420"/>
      <c r="G21" s="420"/>
      <c r="H21" s="420"/>
      <c r="I21" s="518"/>
      <c r="J21" s="519"/>
      <c r="K21" s="519"/>
      <c r="L21" s="520"/>
      <c r="M21" s="327"/>
      <c r="N21" s="327"/>
      <c r="O21" s="327"/>
      <c r="Q21" s="428" t="str">
        <f>IF(Sprache="English","delay time",IF(Sprache="Deutsch","Dosierverzögerung",""))</f>
        <v>Dosierverzögerung</v>
      </c>
      <c r="R21" s="428"/>
      <c r="S21" s="428"/>
      <c r="T21" s="428"/>
      <c r="U21" s="245"/>
      <c r="V21" s="44"/>
      <c r="W21" s="536"/>
      <c r="X21" s="537"/>
      <c r="Y21" s="538"/>
      <c r="Z21" s="44"/>
      <c r="AA21" s="44"/>
      <c r="AB21" s="44"/>
      <c r="AE21" s="130" t="s">
        <v>4</v>
      </c>
      <c r="AF21" s="130" t="s">
        <v>43</v>
      </c>
      <c r="AG21" s="145"/>
      <c r="AH21" s="447"/>
      <c r="AI21" s="447"/>
      <c r="AJ21" s="456"/>
      <c r="AK21" s="446"/>
      <c r="AL21" s="447"/>
      <c r="AM21" s="448"/>
      <c r="AN21" s="136"/>
    </row>
    <row r="22" spans="3:43" ht="17.100000000000001" customHeight="1" x14ac:dyDescent="0.25">
      <c r="C22" s="534" t="str">
        <f>IF(Sprache="English","holding pressure",IF(Sprache="Deutsch","Nachdruck",""))</f>
        <v>Nachdruck</v>
      </c>
      <c r="D22" s="535"/>
      <c r="E22" s="535"/>
      <c r="F22" s="535"/>
      <c r="T22" s="246"/>
      <c r="AB22" s="44"/>
      <c r="AE22" s="130" t="s">
        <v>5</v>
      </c>
      <c r="AF22" s="130" t="s">
        <v>44</v>
      </c>
      <c r="AG22" s="145"/>
      <c r="AH22" s="447"/>
      <c r="AI22" s="447"/>
      <c r="AJ22" s="456"/>
      <c r="AK22" s="446"/>
      <c r="AL22" s="447"/>
      <c r="AM22" s="448"/>
      <c r="AN22" s="136"/>
    </row>
    <row r="23" spans="3:43" ht="17.100000000000001" customHeight="1" x14ac:dyDescent="0.25">
      <c r="C23" s="533" t="str">
        <f>IF(Sprache="English","pressure flow",IF(Sprache="Deutsch","Nachdruckstrom",""))</f>
        <v>Nachdruckstrom</v>
      </c>
      <c r="D23" s="462"/>
      <c r="E23" s="462"/>
      <c r="F23" s="462"/>
      <c r="G23" s="142"/>
      <c r="H23" s="143"/>
      <c r="I23" s="514"/>
      <c r="J23" s="503"/>
      <c r="K23" s="503"/>
      <c r="L23" s="523" t="str">
        <f>IF(mmorccm="mm","mm/s",IF(mmorccm="ccm","ccm/s",""))</f>
        <v>ccm/s</v>
      </c>
      <c r="M23" s="524"/>
      <c r="AB23" s="44"/>
      <c r="AE23" s="130" t="s">
        <v>6</v>
      </c>
      <c r="AF23" s="130" t="s">
        <v>45</v>
      </c>
      <c r="AG23" s="145"/>
      <c r="AH23" s="447"/>
      <c r="AI23" s="447"/>
      <c r="AJ23" s="456"/>
      <c r="AK23" s="446"/>
      <c r="AL23" s="447"/>
      <c r="AM23" s="448"/>
      <c r="AN23" s="136"/>
    </row>
    <row r="24" spans="3:43" ht="17.100000000000001" customHeight="1" x14ac:dyDescent="0.25">
      <c r="C24" s="152" t="str">
        <f>IF(Sprache="English","P1 / time 1",IF(Sprache="Deutsch","P1 / Zeit 1",""))</f>
        <v>P1 / Zeit 1</v>
      </c>
      <c r="D24" s="130"/>
      <c r="E24" s="130"/>
      <c r="F24" s="130"/>
      <c r="G24" s="130"/>
      <c r="H24" s="145"/>
      <c r="I24" s="542"/>
      <c r="J24" s="543"/>
      <c r="K24" s="543"/>
      <c r="L24" s="545"/>
      <c r="M24" s="546"/>
      <c r="P24" s="44"/>
      <c r="AA24" s="198"/>
      <c r="AB24" s="198"/>
      <c r="AE24" s="130" t="s">
        <v>7</v>
      </c>
      <c r="AF24" s="130" t="s">
        <v>46</v>
      </c>
      <c r="AG24" s="145"/>
      <c r="AH24" s="447"/>
      <c r="AI24" s="447"/>
      <c r="AJ24" s="456"/>
      <c r="AK24" s="446"/>
      <c r="AL24" s="447"/>
      <c r="AM24" s="448"/>
      <c r="AN24" s="136"/>
    </row>
    <row r="25" spans="3:43" ht="17.100000000000001" customHeight="1" thickBot="1" x14ac:dyDescent="0.3">
      <c r="C25" s="152" t="str">
        <f>IF(Sprache="English","P2 / time 2",IF(Sprache="Deutsch","P2 / Zeit 2",""))</f>
        <v>P2 / Zeit 2</v>
      </c>
      <c r="D25" s="130"/>
      <c r="E25" s="130"/>
      <c r="F25" s="130"/>
      <c r="G25" s="130"/>
      <c r="H25" s="145"/>
      <c r="I25" s="542"/>
      <c r="J25" s="543"/>
      <c r="K25" s="543"/>
      <c r="L25" s="540"/>
      <c r="M25" s="541"/>
      <c r="P25" s="44"/>
      <c r="Q25" s="153"/>
      <c r="R25" s="44"/>
      <c r="S25" s="44"/>
      <c r="T25" s="44"/>
      <c r="U25" s="44"/>
      <c r="V25" s="44"/>
      <c r="W25" s="44"/>
      <c r="X25" s="44"/>
      <c r="Y25" s="432" t="str">
        <f>IF(Sprache="English","before",IF(Sprache="Deutsch","vor",""))</f>
        <v>vor</v>
      </c>
      <c r="Z25" s="433"/>
      <c r="AA25" s="250"/>
      <c r="AB25" s="259" t="str">
        <f>IF(mmorccm="mm","mm",IF(mmorccm="ccm","ccm",""))</f>
        <v>ccm</v>
      </c>
      <c r="AE25" s="130" t="s">
        <v>8</v>
      </c>
      <c r="AF25" s="130" t="s">
        <v>47</v>
      </c>
      <c r="AG25" s="145"/>
      <c r="AH25" s="447"/>
      <c r="AI25" s="447"/>
      <c r="AJ25" s="456"/>
      <c r="AK25" s="446"/>
      <c r="AL25" s="447"/>
      <c r="AM25" s="448"/>
      <c r="AN25" s="136"/>
    </row>
    <row r="26" spans="3:43" ht="17.100000000000001" customHeight="1" thickBot="1" x14ac:dyDescent="0.3">
      <c r="C26" s="152" t="str">
        <f>IF(Sprache="English","P3 / time 3",IF(Sprache="Deutsch","P3 / Zeit 3",""))</f>
        <v>P3 / Zeit 3</v>
      </c>
      <c r="D26" s="130"/>
      <c r="E26" s="130"/>
      <c r="F26" s="130"/>
      <c r="G26" s="130"/>
      <c r="H26" s="145"/>
      <c r="I26" s="542"/>
      <c r="J26" s="543"/>
      <c r="K26" s="544"/>
      <c r="L26" s="540"/>
      <c r="M26" s="541"/>
      <c r="P26" s="44"/>
      <c r="Q26" s="428" t="str">
        <f>IF(Sprache="English","decompression",IF(Sprache="Deutsch","Dekompression",""))</f>
        <v>Dekompression</v>
      </c>
      <c r="R26" s="428"/>
      <c r="S26" s="428"/>
      <c r="T26" s="428"/>
      <c r="U26" s="434" t="s">
        <v>154</v>
      </c>
      <c r="V26" s="435"/>
      <c r="W26" s="435"/>
      <c r="X26" s="436"/>
      <c r="Y26" s="477" t="str">
        <f>IF(Sprache="English","after",IF(Sprache="Deutsch","nach",""))</f>
        <v>nach</v>
      </c>
      <c r="Z26" s="478"/>
      <c r="AA26" s="251"/>
      <c r="AB26" s="256" t="str">
        <f>IF(mmorccm="mm","mm",IF(mmorccm="ccm","ccm",""))</f>
        <v>ccm</v>
      </c>
      <c r="AE26" s="130" t="s">
        <v>9</v>
      </c>
      <c r="AF26" s="130" t="s">
        <v>48</v>
      </c>
      <c r="AG26" s="145"/>
      <c r="AH26" s="447"/>
      <c r="AI26" s="447"/>
      <c r="AJ26" s="456"/>
      <c r="AK26" s="446"/>
      <c r="AL26" s="447"/>
      <c r="AM26" s="448"/>
      <c r="AN26" s="136"/>
    </row>
    <row r="27" spans="3:43" ht="17.100000000000001" customHeight="1" thickBot="1" x14ac:dyDescent="0.3">
      <c r="C27" s="152" t="str">
        <f>IF(Sprache="English","P4 / time 4",IF(Sprache="Deutsch","P4 / Zeit 4",""))</f>
        <v>P4 / Zeit 4</v>
      </c>
      <c r="D27" s="130"/>
      <c r="E27" s="130"/>
      <c r="F27" s="130"/>
      <c r="G27" s="130"/>
      <c r="H27" s="145"/>
      <c r="I27" s="542"/>
      <c r="J27" s="543"/>
      <c r="K27" s="544"/>
      <c r="L27" s="540"/>
      <c r="M27" s="541"/>
      <c r="P27" s="44"/>
      <c r="Q27" s="58"/>
      <c r="R27" s="58"/>
      <c r="S27" s="58"/>
      <c r="T27" s="58"/>
      <c r="Y27" s="155"/>
      <c r="Z27" s="155"/>
      <c r="AE27" s="130" t="s">
        <v>10</v>
      </c>
      <c r="AF27" s="130" t="s">
        <v>49</v>
      </c>
      <c r="AG27" s="145"/>
      <c r="AH27" s="447"/>
      <c r="AI27" s="447"/>
      <c r="AJ27" s="456"/>
      <c r="AK27" s="446"/>
      <c r="AL27" s="447"/>
      <c r="AM27" s="448"/>
      <c r="AN27" s="136"/>
    </row>
    <row r="28" spans="3:43" ht="17.100000000000001" customHeight="1" thickBot="1" x14ac:dyDescent="0.3">
      <c r="C28" s="152" t="str">
        <f>IF(Sprache="English","P5 / time 5",IF(Sprache="Deutsch","P5 / Zeit 5",""))</f>
        <v>P5 / Zeit 5</v>
      </c>
      <c r="D28" s="130"/>
      <c r="E28" s="130"/>
      <c r="F28" s="130"/>
      <c r="G28" s="130"/>
      <c r="H28" s="145"/>
      <c r="I28" s="542"/>
      <c r="J28" s="543"/>
      <c r="K28" s="544"/>
      <c r="L28" s="540"/>
      <c r="M28" s="541"/>
      <c r="P28" s="44"/>
      <c r="Q28" s="428" t="str">
        <f>IF(Sprache="English","barrel",IF(Sprache="Deutsch","Aggregat",""))</f>
        <v>Aggregat</v>
      </c>
      <c r="R28" s="428"/>
      <c r="S28" s="428"/>
      <c r="T28" s="156"/>
      <c r="U28" s="154"/>
      <c r="V28" s="434" t="s">
        <v>155</v>
      </c>
      <c r="W28" s="435"/>
      <c r="X28" s="436"/>
      <c r="Y28" s="467"/>
      <c r="Z28" s="468"/>
      <c r="AE28" s="130" t="s">
        <v>11</v>
      </c>
      <c r="AF28" s="130" t="s">
        <v>50</v>
      </c>
      <c r="AG28" s="145"/>
      <c r="AH28" s="447"/>
      <c r="AI28" s="447"/>
      <c r="AJ28" s="456"/>
      <c r="AK28" s="446"/>
      <c r="AL28" s="447"/>
      <c r="AM28" s="448"/>
      <c r="AN28" s="136"/>
      <c r="AQ28" s="79"/>
    </row>
    <row r="29" spans="3:43" ht="17.100000000000001" customHeight="1" x14ac:dyDescent="0.25">
      <c r="C29" s="152" t="str">
        <f>IF(Sprache="English","P6 / time 6",IF(Sprache="Deutsch","P6 / Zeit 6",""))</f>
        <v>P6 / Zeit 6</v>
      </c>
      <c r="D29" s="130"/>
      <c r="E29" s="130"/>
      <c r="F29" s="130"/>
      <c r="G29" s="130"/>
      <c r="H29" s="145"/>
      <c r="I29" s="542"/>
      <c r="J29" s="543"/>
      <c r="K29" s="544"/>
      <c r="L29" s="540"/>
      <c r="M29" s="541"/>
      <c r="P29" s="44"/>
      <c r="AC29" s="158"/>
      <c r="AM29" s="158"/>
      <c r="AN29" s="136"/>
    </row>
    <row r="30" spans="3:43" ht="17.100000000000001" customHeight="1" x14ac:dyDescent="0.25">
      <c r="C30" s="152" t="str">
        <f>IF(Sprache="English","P7 / time 7",IF(Sprache="Deutsch","P7 / Zeit 7",""))</f>
        <v>P7 / Zeit 7</v>
      </c>
      <c r="D30" s="130"/>
      <c r="E30" s="130"/>
      <c r="F30" s="130"/>
      <c r="G30" s="130"/>
      <c r="H30" s="145"/>
      <c r="I30" s="542"/>
      <c r="J30" s="543"/>
      <c r="K30" s="544"/>
      <c r="L30" s="540"/>
      <c r="M30" s="541"/>
      <c r="AM30" s="158"/>
      <c r="AN30" s="160"/>
    </row>
    <row r="31" spans="3:43" ht="17.100000000000001" customHeight="1" thickBot="1" x14ac:dyDescent="0.3">
      <c r="C31" s="163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M31" s="158"/>
      <c r="AN31" s="160"/>
    </row>
    <row r="32" spans="3:43" ht="17.100000000000001" customHeight="1" x14ac:dyDescent="0.25">
      <c r="C32" s="492" t="str">
        <f>IF(Sprache="English","*actual value",IF(Sprache="Deutsch","*IST Werte",""))</f>
        <v>*IST Werte</v>
      </c>
      <c r="D32" s="493"/>
      <c r="E32" s="493"/>
      <c r="F32" s="493"/>
      <c r="G32" s="161"/>
      <c r="H32" s="161"/>
      <c r="I32" s="161"/>
      <c r="J32" s="161"/>
      <c r="K32" s="161"/>
      <c r="L32" s="161"/>
      <c r="M32" s="161"/>
      <c r="N32" s="469" t="str">
        <f>IF(Sprache="English","process range",IF(Sprache="Deutsch","Prozessfenster",""))</f>
        <v>Prozessfenster</v>
      </c>
      <c r="O32" s="469"/>
      <c r="P32" s="469"/>
      <c r="Q32" s="469"/>
      <c r="R32" s="127"/>
      <c r="S32" s="127"/>
      <c r="T32" s="127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469" t="str">
        <f>IF(Sprache="English","process range",IF(Sprache="Deutsch","Prozessfenster",""))</f>
        <v>Prozessfenster</v>
      </c>
      <c r="AL32" s="469"/>
      <c r="AM32" s="469"/>
      <c r="AN32" s="470"/>
    </row>
    <row r="33" spans="3:40" ht="17.100000000000001" customHeight="1" x14ac:dyDescent="0.25">
      <c r="C33" s="157"/>
      <c r="D33" s="462" t="str">
        <f>IF(Sprache="English","*melt cushion",IF(Sprache="Deutsch","*Massepolster",""))</f>
        <v>*Massepolster</v>
      </c>
      <c r="E33" s="462"/>
      <c r="F33" s="462"/>
      <c r="G33" s="462"/>
      <c r="H33" s="462"/>
      <c r="I33" s="550"/>
      <c r="J33" s="589"/>
      <c r="K33" s="503"/>
      <c r="L33" s="503"/>
      <c r="M33" s="258" t="str">
        <f>IF(mmorccm="mm","mm",IF(mmorccm="ccm","ccm",""))</f>
        <v>ccm</v>
      </c>
      <c r="N33" s="549" t="str">
        <f>IF(J33&lt;&gt;"",J33*0.95,"")</f>
        <v/>
      </c>
      <c r="O33" s="464"/>
      <c r="P33" s="547" t="str">
        <f>IF(J33&lt;&gt;"",J33*1.05,"")</f>
        <v/>
      </c>
      <c r="Q33" s="548"/>
      <c r="AA33" s="462" t="str">
        <f>IF(Sprache="English","*injection time",IF(Sprache="Deutsch","*Einspritzzeit",""))</f>
        <v>*Einspritzzeit</v>
      </c>
      <c r="AB33" s="462"/>
      <c r="AC33" s="462"/>
      <c r="AD33" s="462"/>
      <c r="AE33" s="462"/>
      <c r="AF33" s="462"/>
      <c r="AG33" s="459"/>
      <c r="AH33" s="460"/>
      <c r="AI33" s="460"/>
      <c r="AJ33" s="461"/>
      <c r="AK33" s="463" t="str">
        <f>IF(AG33&lt;&gt;"",AG33*0.95,"")</f>
        <v/>
      </c>
      <c r="AL33" s="464"/>
      <c r="AM33" s="449" t="str">
        <f>IF(AG33&lt;&gt;"",AG33*1.05,"")</f>
        <v/>
      </c>
      <c r="AN33" s="450"/>
    </row>
    <row r="34" spans="3:40" ht="17.100000000000001" customHeight="1" x14ac:dyDescent="0.25">
      <c r="C34" s="157"/>
      <c r="D34" s="420" t="str">
        <f>IF(Sprache="English","*injection pressure max.",IF(Sprache="Deutsch","*max. Einspritzdruck",""))</f>
        <v>*max. Einspritzdruck</v>
      </c>
      <c r="E34" s="420"/>
      <c r="F34" s="420"/>
      <c r="G34" s="420"/>
      <c r="H34" s="420"/>
      <c r="I34" s="555"/>
      <c r="J34" s="530"/>
      <c r="K34" s="530"/>
      <c r="L34" s="426"/>
      <c r="M34" s="426"/>
      <c r="N34" s="587" t="str">
        <f>IF(J34&lt;&gt;"",J34*0.85,"")</f>
        <v/>
      </c>
      <c r="O34" s="466"/>
      <c r="P34" s="547" t="str">
        <f>IF(J34&lt;&gt;"",J34*1.15,"")</f>
        <v/>
      </c>
      <c r="Q34" s="548"/>
      <c r="AA34" s="420" t="str">
        <f>IF(Sprache="English","*charging time",IF(Sprache="Deutsch","*Dosierzeit",""))</f>
        <v>*Dosierzeit</v>
      </c>
      <c r="AB34" s="420"/>
      <c r="AC34" s="420"/>
      <c r="AD34" s="420"/>
      <c r="AE34" s="420"/>
      <c r="AF34" s="420"/>
      <c r="AG34" s="454"/>
      <c r="AH34" s="455"/>
      <c r="AI34" s="426"/>
      <c r="AJ34" s="426"/>
      <c r="AK34" s="465" t="str">
        <f>IF(AG34&lt;&gt;"",AG34*0.85,"")</f>
        <v/>
      </c>
      <c r="AL34" s="466"/>
      <c r="AM34" s="449" t="str">
        <f>IF(AG34&lt;&gt;"",AG34*1.15,"")</f>
        <v/>
      </c>
      <c r="AN34" s="450"/>
    </row>
    <row r="35" spans="3:40" ht="17.100000000000001" customHeight="1" x14ac:dyDescent="0.25">
      <c r="C35" s="157"/>
      <c r="D35" s="420" t="str">
        <f>IF(Sprache="English","*change over pressure",IF(Sprache="Deutsch","*Umschaltdruck",""))</f>
        <v>*Umschaltdruck</v>
      </c>
      <c r="E35" s="420"/>
      <c r="F35" s="420"/>
      <c r="G35" s="420"/>
      <c r="H35" s="420"/>
      <c r="I35" s="555"/>
      <c r="J35" s="530"/>
      <c r="K35" s="530"/>
      <c r="L35" s="426"/>
      <c r="M35" s="426"/>
      <c r="N35" s="587" t="str">
        <f>IF(J35&lt;&gt;"",J35*0.85,"")</f>
        <v/>
      </c>
      <c r="O35" s="466"/>
      <c r="P35" s="547" t="str">
        <f>IF(J35&lt;&gt;"",J35*1.15,"")</f>
        <v/>
      </c>
      <c r="Q35" s="548"/>
      <c r="AA35" s="420" t="str">
        <f>IF(Sprache="English","*cycle time",IF(Sprache="Deutsch","*Zykluszeit",""))</f>
        <v>*Zykluszeit</v>
      </c>
      <c r="AB35" s="420"/>
      <c r="AC35" s="420"/>
      <c r="AD35" s="420"/>
      <c r="AE35" s="420"/>
      <c r="AF35" s="420"/>
      <c r="AG35" s="451"/>
      <c r="AH35" s="452"/>
      <c r="AI35" s="453"/>
      <c r="AJ35" s="453"/>
      <c r="AK35" s="457" t="str">
        <f t="shared" ref="AK35" si="2">IF(AG35&lt;&gt;"",AG35*0.95,"")</f>
        <v/>
      </c>
      <c r="AL35" s="458"/>
      <c r="AM35" s="449" t="str">
        <f t="shared" ref="AM35" si="3">IF(AG35&lt;&gt;"",AG35*1.05,"")</f>
        <v/>
      </c>
      <c r="AN35" s="450"/>
    </row>
    <row r="36" spans="3:40" ht="17.100000000000001" customHeight="1" thickBot="1" x14ac:dyDescent="0.3">
      <c r="C36" s="162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59"/>
      <c r="AE36" s="159"/>
      <c r="AF36" s="159"/>
      <c r="AG36" s="159"/>
      <c r="AH36" s="159"/>
      <c r="AI36" s="159"/>
      <c r="AJ36" s="159"/>
      <c r="AK36" s="236"/>
      <c r="AL36" s="236"/>
      <c r="AM36" s="138"/>
      <c r="AN36" s="139"/>
    </row>
    <row r="37" spans="3:40" ht="17.100000000000001" customHeight="1" x14ac:dyDescent="0.25">
      <c r="C37" s="492" t="str">
        <f>IF(Sprache="English","barrel heating [°C] +/- 30°C",IF(Sprache="Deutsch","Zylinderheizung [°C] +/- 30°C",""))</f>
        <v>Zylinderheizung [°C] +/- 30°C</v>
      </c>
      <c r="D37" s="473"/>
      <c r="E37" s="473"/>
      <c r="F37" s="473"/>
      <c r="G37" s="473"/>
      <c r="H37" s="473"/>
      <c r="I37" s="473"/>
      <c r="J37" s="233"/>
      <c r="K37" s="233"/>
      <c r="L37" s="439" t="s">
        <v>25</v>
      </c>
      <c r="M37" s="440"/>
      <c r="N37" s="439" t="s">
        <v>24</v>
      </c>
      <c r="O37" s="440"/>
      <c r="P37" s="439" t="s">
        <v>23</v>
      </c>
      <c r="Q37" s="440"/>
      <c r="R37" s="439" t="s">
        <v>21</v>
      </c>
      <c r="S37" s="440"/>
      <c r="T37" s="439" t="s">
        <v>20</v>
      </c>
      <c r="U37" s="440"/>
      <c r="V37" s="439" t="s">
        <v>19</v>
      </c>
      <c r="W37" s="440"/>
      <c r="X37" s="439" t="s">
        <v>17</v>
      </c>
      <c r="Y37" s="440"/>
      <c r="Z37" s="439" t="s">
        <v>18</v>
      </c>
      <c r="AA37" s="440"/>
      <c r="AB37" s="439" t="s">
        <v>13</v>
      </c>
      <c r="AC37" s="440"/>
      <c r="AD37" s="439" t="s">
        <v>14</v>
      </c>
      <c r="AE37" s="440"/>
      <c r="AF37" s="439" t="s">
        <v>15</v>
      </c>
      <c r="AG37" s="440"/>
      <c r="AH37" s="439" t="s">
        <v>16</v>
      </c>
      <c r="AI37" s="440"/>
      <c r="AJ37" s="439" t="s">
        <v>12</v>
      </c>
      <c r="AK37" s="440"/>
      <c r="AL37" s="437" t="s">
        <v>30</v>
      </c>
      <c r="AM37" s="438"/>
      <c r="AN37" s="135"/>
    </row>
    <row r="38" spans="3:40" ht="17.100000000000001" customHeight="1" x14ac:dyDescent="0.25">
      <c r="C38" s="163"/>
      <c r="D38" s="44"/>
      <c r="E38" s="44"/>
      <c r="F38" s="44"/>
      <c r="G38" s="44"/>
      <c r="H38" s="44"/>
      <c r="I38" s="44"/>
      <c r="J38" s="44"/>
      <c r="K38" s="44"/>
      <c r="L38" s="412"/>
      <c r="M38" s="413"/>
      <c r="N38" s="412"/>
      <c r="O38" s="413"/>
      <c r="P38" s="412"/>
      <c r="Q38" s="413"/>
      <c r="R38" s="412"/>
      <c r="S38" s="413"/>
      <c r="T38" s="551"/>
      <c r="U38" s="552"/>
      <c r="V38" s="412"/>
      <c r="W38" s="413"/>
      <c r="X38" s="412"/>
      <c r="Y38" s="413"/>
      <c r="Z38" s="412"/>
      <c r="AA38" s="413"/>
      <c r="AB38" s="412"/>
      <c r="AC38" s="413"/>
      <c r="AD38" s="412"/>
      <c r="AE38" s="413"/>
      <c r="AF38" s="412"/>
      <c r="AG38" s="413"/>
      <c r="AH38" s="412"/>
      <c r="AI38" s="413"/>
      <c r="AJ38" s="412"/>
      <c r="AK38" s="413"/>
      <c r="AL38" s="412"/>
      <c r="AM38" s="413"/>
      <c r="AN38" s="136"/>
    </row>
    <row r="39" spans="3:40" ht="17.100000000000001" customHeight="1" thickBot="1" x14ac:dyDescent="0.3">
      <c r="C39" s="137"/>
      <c r="D39" s="138"/>
      <c r="E39" s="138"/>
      <c r="F39" s="138"/>
      <c r="G39" s="138"/>
      <c r="H39" s="138"/>
      <c r="I39" s="45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4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9"/>
    </row>
    <row r="40" spans="3:40" ht="17.100000000000001" customHeight="1" x14ac:dyDescent="0.25">
      <c r="C40" s="492" t="str">
        <f>IF(Sprache="English","hot runner [°C] +/- 30°C",IF(Sprache="Deutsch","Heisskanal [°C] +/- 30°C",""))</f>
        <v>Heisskanal [°C] +/- 30°C</v>
      </c>
      <c r="D40" s="473"/>
      <c r="E40" s="473"/>
      <c r="F40" s="473"/>
      <c r="G40" s="473"/>
      <c r="H40" s="473"/>
      <c r="I40" s="473"/>
      <c r="J40" s="473"/>
      <c r="K40" s="233"/>
      <c r="L40" s="556"/>
      <c r="M40" s="556"/>
      <c r="N40" s="556"/>
      <c r="O40" s="127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136"/>
    </row>
    <row r="41" spans="3:40" ht="17.100000000000001" customHeight="1" x14ac:dyDescent="0.25">
      <c r="C41" s="157"/>
      <c r="D41" s="415" t="s">
        <v>12</v>
      </c>
      <c r="E41" s="416"/>
      <c r="F41" s="415" t="s">
        <v>16</v>
      </c>
      <c r="G41" s="416"/>
      <c r="H41" s="415" t="s">
        <v>15</v>
      </c>
      <c r="I41" s="416"/>
      <c r="J41" s="415" t="s">
        <v>14</v>
      </c>
      <c r="K41" s="416"/>
      <c r="L41" s="415" t="s">
        <v>13</v>
      </c>
      <c r="M41" s="416"/>
      <c r="N41" s="415" t="s">
        <v>18</v>
      </c>
      <c r="O41" s="416"/>
      <c r="P41" s="415" t="s">
        <v>17</v>
      </c>
      <c r="Q41" s="416"/>
      <c r="R41" s="415" t="s">
        <v>19</v>
      </c>
      <c r="S41" s="416"/>
      <c r="T41" s="415" t="s">
        <v>20</v>
      </c>
      <c r="U41" s="416"/>
      <c r="V41" s="415" t="s">
        <v>21</v>
      </c>
      <c r="W41" s="416"/>
      <c r="X41" s="415" t="s">
        <v>23</v>
      </c>
      <c r="Y41" s="416"/>
      <c r="Z41" s="415" t="s">
        <v>24</v>
      </c>
      <c r="AA41" s="416"/>
      <c r="AB41" s="415" t="s">
        <v>25</v>
      </c>
      <c r="AC41" s="416"/>
      <c r="AD41" s="415" t="s">
        <v>55</v>
      </c>
      <c r="AE41" s="416"/>
      <c r="AF41" s="415" t="s">
        <v>56</v>
      </c>
      <c r="AG41" s="416"/>
      <c r="AH41" s="415" t="s">
        <v>57</v>
      </c>
      <c r="AI41" s="416"/>
      <c r="AJ41" s="415" t="s">
        <v>58</v>
      </c>
      <c r="AK41" s="416"/>
      <c r="AL41" s="415" t="s">
        <v>59</v>
      </c>
      <c r="AM41" s="416"/>
      <c r="AN41" s="141"/>
    </row>
    <row r="42" spans="3:40" ht="17.100000000000001" customHeight="1" x14ac:dyDescent="0.25">
      <c r="C42" s="157"/>
      <c r="D42" s="585"/>
      <c r="E42" s="414"/>
      <c r="F42" s="412"/>
      <c r="G42" s="414"/>
      <c r="H42" s="412"/>
      <c r="I42" s="414"/>
      <c r="J42" s="412"/>
      <c r="K42" s="414"/>
      <c r="L42" s="412"/>
      <c r="M42" s="414"/>
      <c r="N42" s="412"/>
      <c r="O42" s="414"/>
      <c r="P42" s="412"/>
      <c r="Q42" s="414"/>
      <c r="R42" s="412"/>
      <c r="S42" s="414"/>
      <c r="T42" s="412"/>
      <c r="U42" s="414"/>
      <c r="V42" s="412"/>
      <c r="W42" s="414"/>
      <c r="X42" s="412"/>
      <c r="Y42" s="414"/>
      <c r="Z42" s="412"/>
      <c r="AA42" s="414"/>
      <c r="AB42" s="412"/>
      <c r="AC42" s="414"/>
      <c r="AD42" s="412"/>
      <c r="AE42" s="414"/>
      <c r="AF42" s="412"/>
      <c r="AG42" s="414"/>
      <c r="AH42" s="412"/>
      <c r="AI42" s="414"/>
      <c r="AJ42" s="412"/>
      <c r="AK42" s="414"/>
      <c r="AL42" s="412"/>
      <c r="AM42" s="414"/>
      <c r="AN42" s="301"/>
    </row>
    <row r="43" spans="3:40" ht="17.100000000000001" customHeight="1" x14ac:dyDescent="0.25">
      <c r="C43" s="157"/>
      <c r="D43" s="407" t="s">
        <v>60</v>
      </c>
      <c r="E43" s="408"/>
      <c r="F43" s="407" t="s">
        <v>61</v>
      </c>
      <c r="G43" s="408"/>
      <c r="H43" s="407" t="s">
        <v>62</v>
      </c>
      <c r="I43" s="408"/>
      <c r="J43" s="407" t="s">
        <v>63</v>
      </c>
      <c r="K43" s="408"/>
      <c r="L43" s="407" t="s">
        <v>64</v>
      </c>
      <c r="M43" s="408"/>
      <c r="N43" s="407" t="s">
        <v>65</v>
      </c>
      <c r="O43" s="408"/>
      <c r="P43" s="407" t="s">
        <v>66</v>
      </c>
      <c r="Q43" s="408"/>
      <c r="R43" s="407" t="s">
        <v>67</v>
      </c>
      <c r="S43" s="408"/>
      <c r="T43" s="407" t="s">
        <v>68</v>
      </c>
      <c r="U43" s="408"/>
      <c r="V43" s="407" t="s">
        <v>69</v>
      </c>
      <c r="W43" s="408"/>
      <c r="X43" s="407" t="s">
        <v>70</v>
      </c>
      <c r="Y43" s="408"/>
      <c r="Z43" s="407" t="s">
        <v>71</v>
      </c>
      <c r="AA43" s="408"/>
      <c r="AB43" s="407" t="s">
        <v>72</v>
      </c>
      <c r="AC43" s="408"/>
      <c r="AD43" s="407" t="s">
        <v>73</v>
      </c>
      <c r="AE43" s="408"/>
      <c r="AF43" s="407" t="s">
        <v>74</v>
      </c>
      <c r="AG43" s="408"/>
      <c r="AH43" s="407" t="s">
        <v>75</v>
      </c>
      <c r="AI43" s="408"/>
      <c r="AJ43" s="407" t="s">
        <v>76</v>
      </c>
      <c r="AK43" s="408"/>
      <c r="AL43" s="407" t="s">
        <v>77</v>
      </c>
      <c r="AM43" s="408"/>
      <c r="AN43" s="301"/>
    </row>
    <row r="44" spans="3:40" ht="17.100000000000001" customHeight="1" x14ac:dyDescent="0.25">
      <c r="C44" s="164"/>
      <c r="D44" s="588"/>
      <c r="E44" s="414"/>
      <c r="F44" s="412"/>
      <c r="G44" s="414"/>
      <c r="H44" s="412"/>
      <c r="I44" s="414"/>
      <c r="J44" s="412"/>
      <c r="K44" s="414"/>
      <c r="L44" s="412"/>
      <c r="M44" s="414"/>
      <c r="N44" s="412"/>
      <c r="O44" s="414"/>
      <c r="P44" s="412"/>
      <c r="Q44" s="414"/>
      <c r="R44" s="412"/>
      <c r="S44" s="414"/>
      <c r="T44" s="412"/>
      <c r="U44" s="414"/>
      <c r="V44" s="412"/>
      <c r="W44" s="414"/>
      <c r="X44" s="412"/>
      <c r="Y44" s="414"/>
      <c r="Z44" s="412"/>
      <c r="AA44" s="414"/>
      <c r="AB44" s="412"/>
      <c r="AC44" s="414"/>
      <c r="AD44" s="412"/>
      <c r="AE44" s="414"/>
      <c r="AF44" s="412"/>
      <c r="AG44" s="414"/>
      <c r="AH44" s="412"/>
      <c r="AI44" s="414"/>
      <c r="AJ44" s="412"/>
      <c r="AK44" s="414"/>
      <c r="AL44" s="412"/>
      <c r="AM44" s="414"/>
      <c r="AN44" s="136"/>
    </row>
    <row r="45" spans="3:40" ht="17.100000000000001" customHeight="1" thickBot="1" x14ac:dyDescent="0.3">
      <c r="C45" s="46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138"/>
      <c r="AN45" s="139"/>
    </row>
    <row r="46" spans="3:40" ht="17.100000000000001" customHeight="1" x14ac:dyDescent="0.25">
      <c r="C46" s="492" t="str">
        <f>IF(Sprache="English","mold heating [°C] +/- 30°C",IF(Sprache="Deutsch","WE-Temperierung [°C] +/- 30°C",""))</f>
        <v>WE-Temperierung [°C] +/- 30°C</v>
      </c>
      <c r="D46" s="473"/>
      <c r="E46" s="473"/>
      <c r="F46" s="473"/>
      <c r="G46" s="473"/>
      <c r="H46" s="473"/>
      <c r="I46" s="300"/>
      <c r="J46" s="300"/>
      <c r="K46" s="300"/>
      <c r="L46" s="300"/>
      <c r="M46" s="300"/>
      <c r="N46" s="300"/>
      <c r="O46" s="300"/>
      <c r="P46" s="300"/>
      <c r="Q46" s="300"/>
      <c r="R46" s="300"/>
      <c r="S46" s="161"/>
      <c r="T46" s="161"/>
      <c r="U46" s="161"/>
      <c r="V46" s="161"/>
      <c r="W46" s="161"/>
      <c r="X46" s="161"/>
      <c r="Y46" s="300"/>
      <c r="Z46" s="300"/>
      <c r="AA46" s="300"/>
      <c r="AB46" s="300"/>
      <c r="AC46" s="300"/>
      <c r="AD46" s="300"/>
      <c r="AE46" s="300"/>
      <c r="AF46" s="300"/>
      <c r="AG46" s="300"/>
      <c r="AH46" s="300"/>
      <c r="AI46" s="300"/>
      <c r="AJ46" s="300"/>
      <c r="AK46" s="300"/>
      <c r="AL46" s="300"/>
      <c r="AM46" s="127"/>
      <c r="AN46" s="135"/>
    </row>
    <row r="47" spans="3:40" ht="17.100000000000001" customHeight="1" thickBot="1" x14ac:dyDescent="0.35">
      <c r="C47" s="163"/>
      <c r="D47" s="44"/>
      <c r="E47" s="44"/>
      <c r="F47" s="570" t="str">
        <f>IF(Sprache="English","description",IF(Sprache="Deutsch","Bezeichnung",""))</f>
        <v>Bezeichnung</v>
      </c>
      <c r="G47" s="570"/>
      <c r="H47" s="570"/>
      <c r="I47" s="570"/>
      <c r="J47" s="570"/>
      <c r="K47" s="570"/>
      <c r="L47" s="590" t="s">
        <v>131</v>
      </c>
      <c r="M47" s="590"/>
      <c r="N47" s="590"/>
      <c r="O47" s="590"/>
      <c r="P47" s="590"/>
      <c r="Q47" s="590"/>
      <c r="R47" s="590"/>
      <c r="S47" s="586" t="str">
        <f>IF(Sprache="English","fixed plate",IF(Sprache="Deutsch","Düsenseite",""))</f>
        <v>Düsenseite</v>
      </c>
      <c r="T47" s="586"/>
      <c r="U47" s="586"/>
      <c r="V47" s="586"/>
      <c r="W47" s="586"/>
      <c r="X47" s="586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36"/>
    </row>
    <row r="48" spans="3:40" ht="17.100000000000001" customHeight="1" thickBot="1" x14ac:dyDescent="0.3">
      <c r="C48" s="302">
        <v>1</v>
      </c>
      <c r="D48" s="583" t="str">
        <f t="shared" ref="D48:D57" si="4">IF(Sprache="English","circle",IF(Sprache="Deutsch","Kreis",""))</f>
        <v>Kreis</v>
      </c>
      <c r="E48" s="584"/>
      <c r="F48" s="560"/>
      <c r="G48" s="560"/>
      <c r="H48" s="560"/>
      <c r="I48" s="560"/>
      <c r="J48" s="560"/>
      <c r="K48" s="560"/>
      <c r="L48" s="580"/>
      <c r="M48" s="581"/>
      <c r="N48" s="582"/>
      <c r="O48" s="166" t="s">
        <v>101</v>
      </c>
      <c r="P48" s="226"/>
      <c r="Q48" s="167" t="s">
        <v>104</v>
      </c>
      <c r="R48" s="228"/>
      <c r="S48" s="168" t="s">
        <v>103</v>
      </c>
      <c r="T48" s="227"/>
      <c r="U48" s="167" t="s">
        <v>104</v>
      </c>
      <c r="V48" s="229"/>
      <c r="W48" s="169" t="s">
        <v>103</v>
      </c>
      <c r="X48" s="249"/>
      <c r="Y48" s="167" t="s">
        <v>104</v>
      </c>
      <c r="Z48" s="228"/>
      <c r="AA48" s="168" t="s">
        <v>103</v>
      </c>
      <c r="AB48" s="227"/>
      <c r="AC48" s="167" t="s">
        <v>104</v>
      </c>
      <c r="AD48" s="229"/>
      <c r="AE48" s="248" t="s">
        <v>103</v>
      </c>
      <c r="AF48" s="226"/>
      <c r="AG48" s="167" t="s">
        <v>104</v>
      </c>
      <c r="AH48" s="228"/>
      <c r="AI48" s="168" t="s">
        <v>103</v>
      </c>
      <c r="AJ48" s="227"/>
      <c r="AK48" s="167" t="s">
        <v>104</v>
      </c>
      <c r="AL48" s="229"/>
      <c r="AM48" s="170" t="s">
        <v>102</v>
      </c>
      <c r="AN48" s="136"/>
    </row>
    <row r="49" spans="3:40" ht="17.100000000000001" customHeight="1" thickBot="1" x14ac:dyDescent="0.3">
      <c r="C49" s="302">
        <v>2</v>
      </c>
      <c r="D49" s="583" t="str">
        <f t="shared" si="4"/>
        <v>Kreis</v>
      </c>
      <c r="E49" s="584"/>
      <c r="F49" s="560"/>
      <c r="G49" s="560"/>
      <c r="H49" s="560"/>
      <c r="I49" s="560"/>
      <c r="J49" s="560"/>
      <c r="K49" s="560"/>
      <c r="L49" s="580"/>
      <c r="M49" s="581"/>
      <c r="N49" s="582"/>
      <c r="O49" s="166" t="s">
        <v>101</v>
      </c>
      <c r="P49" s="226"/>
      <c r="Q49" s="167" t="s">
        <v>104</v>
      </c>
      <c r="R49" s="228"/>
      <c r="S49" s="168" t="s">
        <v>103</v>
      </c>
      <c r="T49" s="227"/>
      <c r="U49" s="167" t="s">
        <v>104</v>
      </c>
      <c r="V49" s="229"/>
      <c r="W49" s="169" t="s">
        <v>103</v>
      </c>
      <c r="X49" s="249"/>
      <c r="Y49" s="167" t="s">
        <v>104</v>
      </c>
      <c r="Z49" s="228"/>
      <c r="AA49" s="168" t="s">
        <v>103</v>
      </c>
      <c r="AB49" s="227"/>
      <c r="AC49" s="167" t="s">
        <v>104</v>
      </c>
      <c r="AD49" s="229"/>
      <c r="AE49" s="248" t="s">
        <v>103</v>
      </c>
      <c r="AF49" s="226"/>
      <c r="AG49" s="167" t="s">
        <v>104</v>
      </c>
      <c r="AH49" s="228"/>
      <c r="AI49" s="168" t="s">
        <v>103</v>
      </c>
      <c r="AJ49" s="227"/>
      <c r="AK49" s="167" t="s">
        <v>104</v>
      </c>
      <c r="AL49" s="229"/>
      <c r="AM49" s="170" t="s">
        <v>102</v>
      </c>
      <c r="AN49" s="136"/>
    </row>
    <row r="50" spans="3:40" ht="17.100000000000001" customHeight="1" thickBot="1" x14ac:dyDescent="0.3">
      <c r="C50" s="302">
        <v>3</v>
      </c>
      <c r="D50" s="583" t="str">
        <f t="shared" si="4"/>
        <v>Kreis</v>
      </c>
      <c r="E50" s="584"/>
      <c r="F50" s="560"/>
      <c r="G50" s="560"/>
      <c r="H50" s="560"/>
      <c r="I50" s="560"/>
      <c r="J50" s="560"/>
      <c r="K50" s="560"/>
      <c r="L50" s="580"/>
      <c r="M50" s="581"/>
      <c r="N50" s="582"/>
      <c r="O50" s="166" t="s">
        <v>101</v>
      </c>
      <c r="P50" s="226"/>
      <c r="Q50" s="167" t="s">
        <v>104</v>
      </c>
      <c r="R50" s="228"/>
      <c r="S50" s="168" t="s">
        <v>103</v>
      </c>
      <c r="T50" s="227"/>
      <c r="U50" s="167" t="s">
        <v>104</v>
      </c>
      <c r="V50" s="229"/>
      <c r="W50" s="248" t="s">
        <v>103</v>
      </c>
      <c r="X50" s="226"/>
      <c r="Y50" s="167" t="s">
        <v>104</v>
      </c>
      <c r="Z50" s="228"/>
      <c r="AA50" s="168" t="s">
        <v>103</v>
      </c>
      <c r="AB50" s="227"/>
      <c r="AC50" s="167" t="s">
        <v>104</v>
      </c>
      <c r="AD50" s="229"/>
      <c r="AE50" s="248" t="s">
        <v>103</v>
      </c>
      <c r="AF50" s="226"/>
      <c r="AG50" s="167" t="s">
        <v>104</v>
      </c>
      <c r="AH50" s="228"/>
      <c r="AI50" s="168" t="s">
        <v>103</v>
      </c>
      <c r="AJ50" s="227"/>
      <c r="AK50" s="167" t="s">
        <v>104</v>
      </c>
      <c r="AL50" s="229"/>
      <c r="AM50" s="170" t="s">
        <v>102</v>
      </c>
      <c r="AN50" s="136"/>
    </row>
    <row r="51" spans="3:40" ht="17.100000000000001" customHeight="1" thickBot="1" x14ac:dyDescent="0.3">
      <c r="C51" s="302">
        <v>4</v>
      </c>
      <c r="D51" s="583" t="str">
        <f t="shared" si="4"/>
        <v>Kreis</v>
      </c>
      <c r="E51" s="584"/>
      <c r="F51" s="560"/>
      <c r="G51" s="560"/>
      <c r="H51" s="560"/>
      <c r="I51" s="560"/>
      <c r="J51" s="560"/>
      <c r="K51" s="560"/>
      <c r="L51" s="580"/>
      <c r="M51" s="581"/>
      <c r="N51" s="582"/>
      <c r="O51" s="166" t="s">
        <v>101</v>
      </c>
      <c r="P51" s="226"/>
      <c r="Q51" s="167" t="s">
        <v>104</v>
      </c>
      <c r="R51" s="228"/>
      <c r="S51" s="168" t="s">
        <v>103</v>
      </c>
      <c r="T51" s="227"/>
      <c r="U51" s="167" t="s">
        <v>104</v>
      </c>
      <c r="V51" s="229"/>
      <c r="W51" s="248" t="s">
        <v>103</v>
      </c>
      <c r="X51" s="226"/>
      <c r="Y51" s="167" t="s">
        <v>104</v>
      </c>
      <c r="Z51" s="228"/>
      <c r="AA51" s="168" t="s">
        <v>103</v>
      </c>
      <c r="AB51" s="227"/>
      <c r="AC51" s="167" t="s">
        <v>104</v>
      </c>
      <c r="AD51" s="229"/>
      <c r="AE51" s="248" t="s">
        <v>103</v>
      </c>
      <c r="AF51" s="226"/>
      <c r="AG51" s="167" t="s">
        <v>104</v>
      </c>
      <c r="AH51" s="228"/>
      <c r="AI51" s="168" t="s">
        <v>103</v>
      </c>
      <c r="AJ51" s="227"/>
      <c r="AK51" s="167" t="s">
        <v>104</v>
      </c>
      <c r="AL51" s="229"/>
      <c r="AM51" s="170" t="s">
        <v>102</v>
      </c>
      <c r="AN51" s="136"/>
    </row>
    <row r="52" spans="3:40" ht="17.100000000000001" customHeight="1" thickBot="1" x14ac:dyDescent="0.3">
      <c r="C52" s="302">
        <v>5</v>
      </c>
      <c r="D52" s="583" t="str">
        <f t="shared" si="4"/>
        <v>Kreis</v>
      </c>
      <c r="E52" s="584"/>
      <c r="F52" s="560"/>
      <c r="G52" s="560"/>
      <c r="H52" s="560"/>
      <c r="I52" s="560"/>
      <c r="J52" s="560"/>
      <c r="K52" s="560"/>
      <c r="L52" s="580"/>
      <c r="M52" s="581"/>
      <c r="N52" s="582"/>
      <c r="O52" s="166" t="s">
        <v>101</v>
      </c>
      <c r="P52" s="226"/>
      <c r="Q52" s="167" t="s">
        <v>104</v>
      </c>
      <c r="R52" s="228"/>
      <c r="S52" s="168" t="s">
        <v>103</v>
      </c>
      <c r="T52" s="227"/>
      <c r="U52" s="167" t="s">
        <v>104</v>
      </c>
      <c r="V52" s="229"/>
      <c r="W52" s="248" t="s">
        <v>103</v>
      </c>
      <c r="X52" s="226"/>
      <c r="Y52" s="167" t="s">
        <v>104</v>
      </c>
      <c r="Z52" s="228"/>
      <c r="AA52" s="168" t="s">
        <v>103</v>
      </c>
      <c r="AB52" s="227"/>
      <c r="AC52" s="167" t="s">
        <v>104</v>
      </c>
      <c r="AD52" s="229"/>
      <c r="AE52" s="248" t="s">
        <v>103</v>
      </c>
      <c r="AF52" s="226"/>
      <c r="AG52" s="167" t="s">
        <v>104</v>
      </c>
      <c r="AH52" s="228"/>
      <c r="AI52" s="168" t="s">
        <v>103</v>
      </c>
      <c r="AJ52" s="227"/>
      <c r="AK52" s="167" t="s">
        <v>104</v>
      </c>
      <c r="AL52" s="229"/>
      <c r="AM52" s="170" t="s">
        <v>102</v>
      </c>
      <c r="AN52" s="136"/>
    </row>
    <row r="53" spans="3:40" ht="17.100000000000001" customHeight="1" thickBot="1" x14ac:dyDescent="0.3">
      <c r="C53" s="302">
        <v>6</v>
      </c>
      <c r="D53" s="583" t="str">
        <f t="shared" si="4"/>
        <v>Kreis</v>
      </c>
      <c r="E53" s="584"/>
      <c r="F53" s="560"/>
      <c r="G53" s="560"/>
      <c r="H53" s="560"/>
      <c r="I53" s="560"/>
      <c r="J53" s="560"/>
      <c r="K53" s="560"/>
      <c r="L53" s="580"/>
      <c r="M53" s="581"/>
      <c r="N53" s="582"/>
      <c r="O53" s="166" t="s">
        <v>101</v>
      </c>
      <c r="P53" s="226"/>
      <c r="Q53" s="167" t="s">
        <v>104</v>
      </c>
      <c r="R53" s="228"/>
      <c r="S53" s="168" t="s">
        <v>103</v>
      </c>
      <c r="T53" s="227"/>
      <c r="U53" s="167" t="s">
        <v>104</v>
      </c>
      <c r="V53" s="229"/>
      <c r="W53" s="248" t="s">
        <v>103</v>
      </c>
      <c r="X53" s="226"/>
      <c r="Y53" s="167" t="s">
        <v>104</v>
      </c>
      <c r="Z53" s="228"/>
      <c r="AA53" s="168" t="s">
        <v>103</v>
      </c>
      <c r="AB53" s="227"/>
      <c r="AC53" s="167" t="s">
        <v>104</v>
      </c>
      <c r="AD53" s="229"/>
      <c r="AE53" s="248" t="s">
        <v>103</v>
      </c>
      <c r="AF53" s="226"/>
      <c r="AG53" s="167" t="s">
        <v>104</v>
      </c>
      <c r="AH53" s="228"/>
      <c r="AI53" s="168" t="s">
        <v>103</v>
      </c>
      <c r="AJ53" s="227"/>
      <c r="AK53" s="167" t="s">
        <v>104</v>
      </c>
      <c r="AL53" s="229"/>
      <c r="AM53" s="170" t="s">
        <v>102</v>
      </c>
      <c r="AN53" s="136"/>
    </row>
    <row r="54" spans="3:40" ht="17.100000000000001" customHeight="1" thickBot="1" x14ac:dyDescent="0.3">
      <c r="C54" s="302">
        <v>7</v>
      </c>
      <c r="D54" s="583" t="str">
        <f t="shared" si="4"/>
        <v>Kreis</v>
      </c>
      <c r="E54" s="584"/>
      <c r="F54" s="560"/>
      <c r="G54" s="560"/>
      <c r="H54" s="560"/>
      <c r="I54" s="560"/>
      <c r="J54" s="560"/>
      <c r="K54" s="560"/>
      <c r="L54" s="580"/>
      <c r="M54" s="581"/>
      <c r="N54" s="582"/>
      <c r="O54" s="166" t="s">
        <v>101</v>
      </c>
      <c r="P54" s="226"/>
      <c r="Q54" s="167" t="s">
        <v>104</v>
      </c>
      <c r="R54" s="228"/>
      <c r="S54" s="168" t="s">
        <v>103</v>
      </c>
      <c r="T54" s="227"/>
      <c r="U54" s="167" t="s">
        <v>104</v>
      </c>
      <c r="V54" s="229"/>
      <c r="W54" s="248" t="s">
        <v>103</v>
      </c>
      <c r="X54" s="226"/>
      <c r="Y54" s="167" t="s">
        <v>104</v>
      </c>
      <c r="Z54" s="228"/>
      <c r="AA54" s="168" t="s">
        <v>103</v>
      </c>
      <c r="AB54" s="227"/>
      <c r="AC54" s="167" t="s">
        <v>104</v>
      </c>
      <c r="AD54" s="229"/>
      <c r="AE54" s="248" t="s">
        <v>103</v>
      </c>
      <c r="AF54" s="226"/>
      <c r="AG54" s="167" t="s">
        <v>104</v>
      </c>
      <c r="AH54" s="228"/>
      <c r="AI54" s="168" t="s">
        <v>103</v>
      </c>
      <c r="AJ54" s="227"/>
      <c r="AK54" s="167" t="s">
        <v>104</v>
      </c>
      <c r="AL54" s="229"/>
      <c r="AM54" s="170" t="s">
        <v>102</v>
      </c>
      <c r="AN54" s="136"/>
    </row>
    <row r="55" spans="3:40" ht="17.100000000000001" customHeight="1" thickBot="1" x14ac:dyDescent="0.3">
      <c r="C55" s="302">
        <v>8</v>
      </c>
      <c r="D55" s="583" t="str">
        <f t="shared" si="4"/>
        <v>Kreis</v>
      </c>
      <c r="E55" s="584"/>
      <c r="F55" s="560"/>
      <c r="G55" s="560"/>
      <c r="H55" s="560"/>
      <c r="I55" s="560"/>
      <c r="J55" s="560"/>
      <c r="K55" s="560"/>
      <c r="L55" s="580"/>
      <c r="M55" s="581"/>
      <c r="N55" s="582"/>
      <c r="O55" s="166" t="s">
        <v>101</v>
      </c>
      <c r="P55" s="226"/>
      <c r="Q55" s="167" t="s">
        <v>104</v>
      </c>
      <c r="R55" s="228"/>
      <c r="S55" s="168" t="s">
        <v>103</v>
      </c>
      <c r="T55" s="227"/>
      <c r="U55" s="167" t="s">
        <v>104</v>
      </c>
      <c r="V55" s="229"/>
      <c r="W55" s="248" t="s">
        <v>103</v>
      </c>
      <c r="X55" s="226"/>
      <c r="Y55" s="167" t="s">
        <v>104</v>
      </c>
      <c r="Z55" s="228"/>
      <c r="AA55" s="168" t="s">
        <v>103</v>
      </c>
      <c r="AB55" s="227"/>
      <c r="AC55" s="167" t="s">
        <v>104</v>
      </c>
      <c r="AD55" s="229"/>
      <c r="AE55" s="248" t="s">
        <v>103</v>
      </c>
      <c r="AF55" s="226"/>
      <c r="AG55" s="167" t="s">
        <v>104</v>
      </c>
      <c r="AH55" s="228"/>
      <c r="AI55" s="168" t="s">
        <v>103</v>
      </c>
      <c r="AJ55" s="227"/>
      <c r="AK55" s="167" t="s">
        <v>104</v>
      </c>
      <c r="AL55" s="229"/>
      <c r="AM55" s="170" t="s">
        <v>102</v>
      </c>
      <c r="AN55" s="136"/>
    </row>
    <row r="56" spans="3:40" ht="17.100000000000001" customHeight="1" thickBot="1" x14ac:dyDescent="0.3">
      <c r="C56" s="302">
        <v>9</v>
      </c>
      <c r="D56" s="583" t="str">
        <f t="shared" si="4"/>
        <v>Kreis</v>
      </c>
      <c r="E56" s="584"/>
      <c r="F56" s="560"/>
      <c r="G56" s="560"/>
      <c r="H56" s="560"/>
      <c r="I56" s="560"/>
      <c r="J56" s="560"/>
      <c r="K56" s="560"/>
      <c r="L56" s="580"/>
      <c r="M56" s="581"/>
      <c r="N56" s="582"/>
      <c r="O56" s="166" t="s">
        <v>101</v>
      </c>
      <c r="P56" s="226"/>
      <c r="Q56" s="167" t="s">
        <v>104</v>
      </c>
      <c r="R56" s="228"/>
      <c r="S56" s="168" t="s">
        <v>103</v>
      </c>
      <c r="T56" s="227"/>
      <c r="U56" s="167" t="s">
        <v>104</v>
      </c>
      <c r="V56" s="229"/>
      <c r="W56" s="248" t="s">
        <v>103</v>
      </c>
      <c r="X56" s="226"/>
      <c r="Y56" s="167" t="s">
        <v>104</v>
      </c>
      <c r="Z56" s="228"/>
      <c r="AA56" s="168" t="s">
        <v>103</v>
      </c>
      <c r="AB56" s="227"/>
      <c r="AC56" s="167" t="s">
        <v>104</v>
      </c>
      <c r="AD56" s="229"/>
      <c r="AE56" s="248" t="s">
        <v>103</v>
      </c>
      <c r="AF56" s="226"/>
      <c r="AG56" s="167" t="s">
        <v>104</v>
      </c>
      <c r="AH56" s="228"/>
      <c r="AI56" s="168" t="s">
        <v>103</v>
      </c>
      <c r="AJ56" s="227"/>
      <c r="AK56" s="167" t="s">
        <v>104</v>
      </c>
      <c r="AL56" s="229"/>
      <c r="AM56" s="170" t="s">
        <v>102</v>
      </c>
      <c r="AN56" s="136"/>
    </row>
    <row r="57" spans="3:40" ht="17.100000000000001" customHeight="1" thickBot="1" x14ac:dyDescent="0.3">
      <c r="C57" s="302">
        <v>10</v>
      </c>
      <c r="D57" s="583" t="str">
        <f t="shared" si="4"/>
        <v>Kreis</v>
      </c>
      <c r="E57" s="584"/>
      <c r="F57" s="560"/>
      <c r="G57" s="560"/>
      <c r="H57" s="560"/>
      <c r="I57" s="560"/>
      <c r="J57" s="560"/>
      <c r="K57" s="560"/>
      <c r="L57" s="580"/>
      <c r="M57" s="581"/>
      <c r="N57" s="582"/>
      <c r="O57" s="166" t="s">
        <v>101</v>
      </c>
      <c r="P57" s="226"/>
      <c r="Q57" s="167" t="s">
        <v>104</v>
      </c>
      <c r="R57" s="228"/>
      <c r="S57" s="168" t="s">
        <v>103</v>
      </c>
      <c r="T57" s="227"/>
      <c r="U57" s="167" t="s">
        <v>104</v>
      </c>
      <c r="V57" s="229"/>
      <c r="W57" s="248" t="s">
        <v>103</v>
      </c>
      <c r="X57" s="226"/>
      <c r="Y57" s="167" t="s">
        <v>104</v>
      </c>
      <c r="Z57" s="228"/>
      <c r="AA57" s="168" t="s">
        <v>103</v>
      </c>
      <c r="AB57" s="227"/>
      <c r="AC57" s="167" t="s">
        <v>104</v>
      </c>
      <c r="AD57" s="229"/>
      <c r="AE57" s="248" t="s">
        <v>103</v>
      </c>
      <c r="AF57" s="226"/>
      <c r="AG57" s="167" t="s">
        <v>104</v>
      </c>
      <c r="AH57" s="228"/>
      <c r="AI57" s="168" t="s">
        <v>103</v>
      </c>
      <c r="AJ57" s="227"/>
      <c r="AK57" s="167" t="s">
        <v>104</v>
      </c>
      <c r="AL57" s="229"/>
      <c r="AM57" s="170" t="s">
        <v>102</v>
      </c>
      <c r="AN57" s="136"/>
    </row>
    <row r="58" spans="3:40" ht="17.100000000000001" customHeight="1" thickBot="1" x14ac:dyDescent="0.3">
      <c r="C58" s="162"/>
      <c r="D58" s="138"/>
      <c r="E58" s="171"/>
      <c r="F58" s="171"/>
      <c r="G58" s="171"/>
      <c r="H58" s="159"/>
      <c r="I58" s="159"/>
      <c r="K58" s="172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252"/>
      <c r="AC58" s="159"/>
      <c r="AD58" s="159"/>
      <c r="AE58" s="159"/>
      <c r="AF58" s="159"/>
      <c r="AG58" s="138"/>
      <c r="AH58" s="45"/>
      <c r="AI58" s="45"/>
      <c r="AJ58" s="138"/>
      <c r="AK58" s="45"/>
      <c r="AL58" s="45"/>
      <c r="AM58" s="138"/>
      <c r="AN58" s="139"/>
    </row>
    <row r="59" spans="3:40" ht="17.100000000000001" customHeight="1" thickBot="1" x14ac:dyDescent="0.35">
      <c r="C59" s="157"/>
      <c r="D59" s="44"/>
      <c r="E59" s="44"/>
      <c r="F59" s="598" t="str">
        <f>IF(Sprache="English","description",IF(Sprache="Deutsch","Bezeichnung",""))</f>
        <v>Bezeichnung</v>
      </c>
      <c r="G59" s="598"/>
      <c r="H59" s="598"/>
      <c r="I59" s="598"/>
      <c r="J59" s="598"/>
      <c r="K59" s="598"/>
      <c r="L59" s="590" t="s">
        <v>131</v>
      </c>
      <c r="M59" s="590"/>
      <c r="N59" s="590"/>
      <c r="O59" s="590"/>
      <c r="P59" s="590"/>
      <c r="Q59" s="590"/>
      <c r="R59" s="590"/>
      <c r="S59" s="591" t="str">
        <f>IF(Sprache="English","moving plate",IF(Sprache="Deutsch","Auswerferseite",""))</f>
        <v>Auswerferseite</v>
      </c>
      <c r="T59" s="591"/>
      <c r="U59" s="591"/>
      <c r="V59" s="591"/>
      <c r="W59" s="591"/>
      <c r="X59" s="591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  <c r="AN59" s="136"/>
    </row>
    <row r="60" spans="3:40" ht="17.100000000000001" customHeight="1" thickBot="1" x14ac:dyDescent="0.3">
      <c r="C60" s="302">
        <v>1</v>
      </c>
      <c r="D60" s="583" t="str">
        <f t="shared" ref="D60:D69" si="5">IF(Sprache="English","circle",IF(Sprache="Deutsch","Kreis",""))</f>
        <v>Kreis</v>
      </c>
      <c r="E60" s="584"/>
      <c r="F60" s="560"/>
      <c r="G60" s="560"/>
      <c r="H60" s="560"/>
      <c r="I60" s="560"/>
      <c r="J60" s="560"/>
      <c r="K60" s="560"/>
      <c r="L60" s="560"/>
      <c r="M60" s="560"/>
      <c r="N60" s="560"/>
      <c r="O60" s="166" t="s">
        <v>101</v>
      </c>
      <c r="P60" s="226"/>
      <c r="Q60" s="167" t="s">
        <v>104</v>
      </c>
      <c r="R60" s="228"/>
      <c r="S60" s="168" t="s">
        <v>103</v>
      </c>
      <c r="T60" s="227"/>
      <c r="U60" s="167" t="s">
        <v>104</v>
      </c>
      <c r="V60" s="229"/>
      <c r="W60" s="248" t="s">
        <v>103</v>
      </c>
      <c r="X60" s="226"/>
      <c r="Y60" s="167" t="s">
        <v>104</v>
      </c>
      <c r="Z60" s="228"/>
      <c r="AA60" s="168" t="s">
        <v>103</v>
      </c>
      <c r="AB60" s="227"/>
      <c r="AC60" s="167" t="s">
        <v>104</v>
      </c>
      <c r="AD60" s="229"/>
      <c r="AE60" s="248" t="s">
        <v>103</v>
      </c>
      <c r="AF60" s="226"/>
      <c r="AG60" s="167" t="s">
        <v>104</v>
      </c>
      <c r="AH60" s="228"/>
      <c r="AI60" s="168" t="s">
        <v>103</v>
      </c>
      <c r="AJ60" s="227"/>
      <c r="AK60" s="167" t="s">
        <v>104</v>
      </c>
      <c r="AL60" s="229"/>
      <c r="AM60" s="170" t="s">
        <v>102</v>
      </c>
      <c r="AN60" s="136"/>
    </row>
    <row r="61" spans="3:40" ht="17.100000000000001" customHeight="1" thickBot="1" x14ac:dyDescent="0.3">
      <c r="C61" s="302">
        <v>2</v>
      </c>
      <c r="D61" s="583" t="str">
        <f t="shared" si="5"/>
        <v>Kreis</v>
      </c>
      <c r="E61" s="584"/>
      <c r="F61" s="560"/>
      <c r="G61" s="560"/>
      <c r="H61" s="560"/>
      <c r="I61" s="560"/>
      <c r="J61" s="560"/>
      <c r="K61" s="560"/>
      <c r="L61" s="560"/>
      <c r="M61" s="560"/>
      <c r="N61" s="560"/>
      <c r="O61" s="166" t="s">
        <v>101</v>
      </c>
      <c r="P61" s="226"/>
      <c r="Q61" s="167" t="s">
        <v>104</v>
      </c>
      <c r="R61" s="228"/>
      <c r="S61" s="168" t="s">
        <v>103</v>
      </c>
      <c r="T61" s="227"/>
      <c r="U61" s="167" t="s">
        <v>104</v>
      </c>
      <c r="V61" s="229"/>
      <c r="W61" s="248" t="s">
        <v>103</v>
      </c>
      <c r="X61" s="226"/>
      <c r="Y61" s="167" t="s">
        <v>104</v>
      </c>
      <c r="Z61" s="228"/>
      <c r="AA61" s="168" t="s">
        <v>103</v>
      </c>
      <c r="AB61" s="227"/>
      <c r="AC61" s="167" t="s">
        <v>104</v>
      </c>
      <c r="AD61" s="229"/>
      <c r="AE61" s="248" t="s">
        <v>103</v>
      </c>
      <c r="AF61" s="226"/>
      <c r="AG61" s="167" t="s">
        <v>104</v>
      </c>
      <c r="AH61" s="228"/>
      <c r="AI61" s="168" t="s">
        <v>103</v>
      </c>
      <c r="AJ61" s="227"/>
      <c r="AK61" s="167" t="s">
        <v>104</v>
      </c>
      <c r="AL61" s="229"/>
      <c r="AM61" s="170" t="s">
        <v>102</v>
      </c>
      <c r="AN61" s="136"/>
    </row>
    <row r="62" spans="3:40" ht="17.100000000000001" customHeight="1" thickBot="1" x14ac:dyDescent="0.3">
      <c r="C62" s="302">
        <v>3</v>
      </c>
      <c r="D62" s="583" t="str">
        <f t="shared" si="5"/>
        <v>Kreis</v>
      </c>
      <c r="E62" s="584"/>
      <c r="F62" s="560"/>
      <c r="G62" s="560"/>
      <c r="H62" s="560"/>
      <c r="I62" s="560"/>
      <c r="J62" s="560"/>
      <c r="K62" s="560"/>
      <c r="L62" s="560"/>
      <c r="M62" s="560"/>
      <c r="N62" s="560"/>
      <c r="O62" s="166" t="s">
        <v>101</v>
      </c>
      <c r="P62" s="226"/>
      <c r="Q62" s="167" t="s">
        <v>104</v>
      </c>
      <c r="R62" s="228"/>
      <c r="S62" s="168" t="s">
        <v>103</v>
      </c>
      <c r="T62" s="227"/>
      <c r="U62" s="167" t="s">
        <v>104</v>
      </c>
      <c r="V62" s="229"/>
      <c r="W62" s="248" t="s">
        <v>103</v>
      </c>
      <c r="X62" s="226"/>
      <c r="Y62" s="167" t="s">
        <v>104</v>
      </c>
      <c r="Z62" s="228"/>
      <c r="AA62" s="168" t="s">
        <v>103</v>
      </c>
      <c r="AB62" s="227"/>
      <c r="AC62" s="167" t="s">
        <v>104</v>
      </c>
      <c r="AD62" s="229"/>
      <c r="AE62" s="248" t="s">
        <v>103</v>
      </c>
      <c r="AF62" s="226"/>
      <c r="AG62" s="167" t="s">
        <v>104</v>
      </c>
      <c r="AH62" s="228"/>
      <c r="AI62" s="168" t="s">
        <v>103</v>
      </c>
      <c r="AJ62" s="227"/>
      <c r="AK62" s="167" t="s">
        <v>104</v>
      </c>
      <c r="AL62" s="229"/>
      <c r="AM62" s="170" t="s">
        <v>102</v>
      </c>
      <c r="AN62" s="136"/>
    </row>
    <row r="63" spans="3:40" ht="17.100000000000001" customHeight="1" thickBot="1" x14ac:dyDescent="0.3">
      <c r="C63" s="302">
        <v>4</v>
      </c>
      <c r="D63" s="583" t="str">
        <f t="shared" si="5"/>
        <v>Kreis</v>
      </c>
      <c r="E63" s="584"/>
      <c r="F63" s="560"/>
      <c r="G63" s="560"/>
      <c r="H63" s="560"/>
      <c r="I63" s="560"/>
      <c r="J63" s="560"/>
      <c r="K63" s="560"/>
      <c r="L63" s="560"/>
      <c r="M63" s="560"/>
      <c r="N63" s="560"/>
      <c r="O63" s="166" t="s">
        <v>101</v>
      </c>
      <c r="P63" s="226"/>
      <c r="Q63" s="167" t="s">
        <v>104</v>
      </c>
      <c r="R63" s="228"/>
      <c r="S63" s="168" t="s">
        <v>103</v>
      </c>
      <c r="T63" s="227"/>
      <c r="U63" s="167" t="s">
        <v>104</v>
      </c>
      <c r="V63" s="229"/>
      <c r="W63" s="248" t="s">
        <v>103</v>
      </c>
      <c r="X63" s="226"/>
      <c r="Y63" s="167" t="s">
        <v>104</v>
      </c>
      <c r="Z63" s="228"/>
      <c r="AA63" s="168" t="s">
        <v>103</v>
      </c>
      <c r="AB63" s="227"/>
      <c r="AC63" s="167" t="s">
        <v>104</v>
      </c>
      <c r="AD63" s="229"/>
      <c r="AE63" s="248" t="s">
        <v>103</v>
      </c>
      <c r="AF63" s="226"/>
      <c r="AG63" s="167" t="s">
        <v>104</v>
      </c>
      <c r="AH63" s="228"/>
      <c r="AI63" s="168" t="s">
        <v>103</v>
      </c>
      <c r="AJ63" s="227"/>
      <c r="AK63" s="167" t="s">
        <v>104</v>
      </c>
      <c r="AL63" s="229"/>
      <c r="AM63" s="170" t="s">
        <v>102</v>
      </c>
      <c r="AN63" s="136"/>
    </row>
    <row r="64" spans="3:40" ht="17.100000000000001" customHeight="1" thickBot="1" x14ac:dyDescent="0.3">
      <c r="C64" s="302">
        <v>5</v>
      </c>
      <c r="D64" s="583" t="str">
        <f t="shared" si="5"/>
        <v>Kreis</v>
      </c>
      <c r="E64" s="584"/>
      <c r="F64" s="560"/>
      <c r="G64" s="560"/>
      <c r="H64" s="560"/>
      <c r="I64" s="560"/>
      <c r="J64" s="560"/>
      <c r="K64" s="560"/>
      <c r="L64" s="560"/>
      <c r="M64" s="560"/>
      <c r="N64" s="560"/>
      <c r="O64" s="166" t="s">
        <v>101</v>
      </c>
      <c r="P64" s="226"/>
      <c r="Q64" s="167" t="s">
        <v>104</v>
      </c>
      <c r="R64" s="228"/>
      <c r="S64" s="168" t="s">
        <v>103</v>
      </c>
      <c r="T64" s="227"/>
      <c r="U64" s="167" t="s">
        <v>104</v>
      </c>
      <c r="V64" s="229"/>
      <c r="W64" s="248" t="s">
        <v>103</v>
      </c>
      <c r="X64" s="226"/>
      <c r="Y64" s="167" t="s">
        <v>104</v>
      </c>
      <c r="Z64" s="228"/>
      <c r="AA64" s="168" t="s">
        <v>103</v>
      </c>
      <c r="AB64" s="227"/>
      <c r="AC64" s="167" t="s">
        <v>104</v>
      </c>
      <c r="AD64" s="229"/>
      <c r="AE64" s="248" t="s">
        <v>103</v>
      </c>
      <c r="AF64" s="226"/>
      <c r="AG64" s="167" t="s">
        <v>104</v>
      </c>
      <c r="AH64" s="228"/>
      <c r="AI64" s="168" t="s">
        <v>103</v>
      </c>
      <c r="AJ64" s="227"/>
      <c r="AK64" s="167" t="s">
        <v>104</v>
      </c>
      <c r="AL64" s="229"/>
      <c r="AM64" s="170" t="s">
        <v>102</v>
      </c>
      <c r="AN64" s="136"/>
    </row>
    <row r="65" spans="1:40" ht="17.100000000000001" customHeight="1" thickBot="1" x14ac:dyDescent="0.3">
      <c r="C65" s="302">
        <v>6</v>
      </c>
      <c r="D65" s="583" t="str">
        <f t="shared" si="5"/>
        <v>Kreis</v>
      </c>
      <c r="E65" s="584"/>
      <c r="F65" s="560"/>
      <c r="G65" s="560"/>
      <c r="H65" s="560"/>
      <c r="I65" s="560"/>
      <c r="J65" s="560"/>
      <c r="K65" s="560"/>
      <c r="L65" s="560"/>
      <c r="M65" s="560"/>
      <c r="N65" s="560"/>
      <c r="O65" s="166" t="s">
        <v>101</v>
      </c>
      <c r="P65" s="226"/>
      <c r="Q65" s="167" t="s">
        <v>104</v>
      </c>
      <c r="R65" s="228"/>
      <c r="S65" s="168" t="s">
        <v>103</v>
      </c>
      <c r="T65" s="227"/>
      <c r="U65" s="167" t="s">
        <v>104</v>
      </c>
      <c r="V65" s="229"/>
      <c r="W65" s="248" t="s">
        <v>103</v>
      </c>
      <c r="X65" s="226"/>
      <c r="Y65" s="167" t="s">
        <v>104</v>
      </c>
      <c r="Z65" s="228"/>
      <c r="AA65" s="168" t="s">
        <v>103</v>
      </c>
      <c r="AB65" s="227"/>
      <c r="AC65" s="167" t="s">
        <v>104</v>
      </c>
      <c r="AD65" s="229"/>
      <c r="AE65" s="248" t="s">
        <v>103</v>
      </c>
      <c r="AF65" s="226"/>
      <c r="AG65" s="167" t="s">
        <v>104</v>
      </c>
      <c r="AH65" s="228"/>
      <c r="AI65" s="168" t="s">
        <v>103</v>
      </c>
      <c r="AJ65" s="227"/>
      <c r="AK65" s="167" t="s">
        <v>104</v>
      </c>
      <c r="AL65" s="229"/>
      <c r="AM65" s="170" t="s">
        <v>102</v>
      </c>
      <c r="AN65" s="136"/>
    </row>
    <row r="66" spans="1:40" ht="17.100000000000001" customHeight="1" thickBot="1" x14ac:dyDescent="0.3">
      <c r="C66" s="302">
        <v>7</v>
      </c>
      <c r="D66" s="583" t="str">
        <f t="shared" si="5"/>
        <v>Kreis</v>
      </c>
      <c r="E66" s="584"/>
      <c r="F66" s="560"/>
      <c r="G66" s="560"/>
      <c r="H66" s="560"/>
      <c r="I66" s="560"/>
      <c r="J66" s="560"/>
      <c r="K66" s="560"/>
      <c r="L66" s="560"/>
      <c r="M66" s="560"/>
      <c r="N66" s="560"/>
      <c r="O66" s="166" t="s">
        <v>101</v>
      </c>
      <c r="P66" s="226"/>
      <c r="Q66" s="167" t="s">
        <v>104</v>
      </c>
      <c r="R66" s="228"/>
      <c r="S66" s="168" t="s">
        <v>103</v>
      </c>
      <c r="T66" s="227"/>
      <c r="U66" s="167" t="s">
        <v>104</v>
      </c>
      <c r="V66" s="229"/>
      <c r="W66" s="248" t="s">
        <v>103</v>
      </c>
      <c r="X66" s="226"/>
      <c r="Y66" s="167" t="s">
        <v>104</v>
      </c>
      <c r="Z66" s="228"/>
      <c r="AA66" s="168" t="s">
        <v>103</v>
      </c>
      <c r="AB66" s="227"/>
      <c r="AC66" s="167" t="s">
        <v>104</v>
      </c>
      <c r="AD66" s="229"/>
      <c r="AE66" s="248" t="s">
        <v>103</v>
      </c>
      <c r="AF66" s="226"/>
      <c r="AG66" s="167" t="s">
        <v>104</v>
      </c>
      <c r="AH66" s="228"/>
      <c r="AI66" s="168" t="s">
        <v>103</v>
      </c>
      <c r="AJ66" s="227"/>
      <c r="AK66" s="167" t="s">
        <v>104</v>
      </c>
      <c r="AL66" s="229"/>
      <c r="AM66" s="170" t="s">
        <v>102</v>
      </c>
      <c r="AN66" s="136"/>
    </row>
    <row r="67" spans="1:40" ht="17.100000000000001" customHeight="1" thickBot="1" x14ac:dyDescent="0.3">
      <c r="C67" s="302">
        <v>8</v>
      </c>
      <c r="D67" s="583" t="str">
        <f t="shared" si="5"/>
        <v>Kreis</v>
      </c>
      <c r="E67" s="584"/>
      <c r="F67" s="560"/>
      <c r="G67" s="560"/>
      <c r="H67" s="560"/>
      <c r="I67" s="560"/>
      <c r="J67" s="560"/>
      <c r="K67" s="560"/>
      <c r="L67" s="560"/>
      <c r="M67" s="560"/>
      <c r="N67" s="560"/>
      <c r="O67" s="166" t="s">
        <v>101</v>
      </c>
      <c r="P67" s="226"/>
      <c r="Q67" s="167" t="s">
        <v>104</v>
      </c>
      <c r="R67" s="228"/>
      <c r="S67" s="168" t="s">
        <v>103</v>
      </c>
      <c r="T67" s="227"/>
      <c r="U67" s="167" t="s">
        <v>104</v>
      </c>
      <c r="V67" s="229"/>
      <c r="W67" s="248" t="s">
        <v>103</v>
      </c>
      <c r="X67" s="226"/>
      <c r="Y67" s="167" t="s">
        <v>104</v>
      </c>
      <c r="Z67" s="228"/>
      <c r="AA67" s="168" t="s">
        <v>103</v>
      </c>
      <c r="AB67" s="227"/>
      <c r="AC67" s="167" t="s">
        <v>104</v>
      </c>
      <c r="AD67" s="229"/>
      <c r="AE67" s="248" t="s">
        <v>103</v>
      </c>
      <c r="AF67" s="226"/>
      <c r="AG67" s="167" t="s">
        <v>104</v>
      </c>
      <c r="AH67" s="228"/>
      <c r="AI67" s="168" t="s">
        <v>103</v>
      </c>
      <c r="AJ67" s="227"/>
      <c r="AK67" s="167" t="s">
        <v>104</v>
      </c>
      <c r="AL67" s="229"/>
      <c r="AM67" s="170" t="s">
        <v>102</v>
      </c>
      <c r="AN67" s="136"/>
    </row>
    <row r="68" spans="1:40" ht="17.100000000000001" customHeight="1" thickBot="1" x14ac:dyDescent="0.3">
      <c r="C68" s="302">
        <v>9</v>
      </c>
      <c r="D68" s="583" t="str">
        <f t="shared" si="5"/>
        <v>Kreis</v>
      </c>
      <c r="E68" s="584"/>
      <c r="F68" s="560"/>
      <c r="G68" s="560"/>
      <c r="H68" s="560"/>
      <c r="I68" s="560"/>
      <c r="J68" s="560"/>
      <c r="K68" s="560"/>
      <c r="L68" s="560"/>
      <c r="M68" s="560"/>
      <c r="N68" s="560"/>
      <c r="O68" s="166" t="s">
        <v>101</v>
      </c>
      <c r="P68" s="226"/>
      <c r="Q68" s="167" t="s">
        <v>104</v>
      </c>
      <c r="R68" s="228"/>
      <c r="S68" s="168" t="s">
        <v>103</v>
      </c>
      <c r="T68" s="227"/>
      <c r="U68" s="167" t="s">
        <v>104</v>
      </c>
      <c r="V68" s="229"/>
      <c r="W68" s="248" t="s">
        <v>103</v>
      </c>
      <c r="X68" s="226"/>
      <c r="Y68" s="167" t="s">
        <v>104</v>
      </c>
      <c r="Z68" s="228"/>
      <c r="AA68" s="168" t="s">
        <v>103</v>
      </c>
      <c r="AB68" s="227"/>
      <c r="AC68" s="167" t="s">
        <v>104</v>
      </c>
      <c r="AD68" s="229"/>
      <c r="AE68" s="248" t="s">
        <v>103</v>
      </c>
      <c r="AF68" s="226"/>
      <c r="AG68" s="167" t="s">
        <v>104</v>
      </c>
      <c r="AH68" s="228"/>
      <c r="AI68" s="168" t="s">
        <v>103</v>
      </c>
      <c r="AJ68" s="227"/>
      <c r="AK68" s="167" t="s">
        <v>104</v>
      </c>
      <c r="AL68" s="229"/>
      <c r="AM68" s="170" t="s">
        <v>102</v>
      </c>
      <c r="AN68" s="136"/>
    </row>
    <row r="69" spans="1:40" ht="17.100000000000001" customHeight="1" thickBot="1" x14ac:dyDescent="0.3">
      <c r="C69" s="302">
        <v>10</v>
      </c>
      <c r="D69" s="583" t="str">
        <f t="shared" si="5"/>
        <v>Kreis</v>
      </c>
      <c r="E69" s="584"/>
      <c r="F69" s="560"/>
      <c r="G69" s="560"/>
      <c r="H69" s="560"/>
      <c r="I69" s="560"/>
      <c r="J69" s="560"/>
      <c r="K69" s="560"/>
      <c r="L69" s="560"/>
      <c r="M69" s="560"/>
      <c r="N69" s="560"/>
      <c r="O69" s="166" t="s">
        <v>101</v>
      </c>
      <c r="P69" s="226"/>
      <c r="Q69" s="167" t="s">
        <v>104</v>
      </c>
      <c r="R69" s="228"/>
      <c r="S69" s="168" t="s">
        <v>103</v>
      </c>
      <c r="T69" s="227"/>
      <c r="U69" s="167" t="s">
        <v>104</v>
      </c>
      <c r="V69" s="229"/>
      <c r="W69" s="248" t="s">
        <v>103</v>
      </c>
      <c r="X69" s="226"/>
      <c r="Y69" s="167" t="s">
        <v>104</v>
      </c>
      <c r="Z69" s="228"/>
      <c r="AA69" s="168" t="s">
        <v>103</v>
      </c>
      <c r="AB69" s="227"/>
      <c r="AC69" s="167" t="s">
        <v>104</v>
      </c>
      <c r="AD69" s="229"/>
      <c r="AE69" s="248" t="s">
        <v>103</v>
      </c>
      <c r="AF69" s="226"/>
      <c r="AG69" s="167" t="s">
        <v>104</v>
      </c>
      <c r="AH69" s="228"/>
      <c r="AI69" s="168" t="s">
        <v>103</v>
      </c>
      <c r="AJ69" s="227"/>
      <c r="AK69" s="167" t="s">
        <v>104</v>
      </c>
      <c r="AL69" s="229"/>
      <c r="AM69" s="170" t="s">
        <v>102</v>
      </c>
      <c r="AN69" s="136"/>
    </row>
    <row r="70" spans="1:40" ht="17.100000000000001" customHeight="1" thickBot="1" x14ac:dyDescent="0.3">
      <c r="C70" s="157"/>
      <c r="D70" s="592" t="str">
        <f>IF(Sprache="English","remarks",IF(Sprache="Deutsch","Bemerkungen",""))</f>
        <v>Bemerkungen</v>
      </c>
      <c r="E70" s="592"/>
      <c r="F70" s="592"/>
      <c r="G70" s="592"/>
      <c r="AN70" s="160"/>
    </row>
    <row r="71" spans="1:40" ht="17.100000000000001" customHeight="1" x14ac:dyDescent="0.25">
      <c r="C71" s="157"/>
      <c r="D71" s="561" t="s">
        <v>156</v>
      </c>
      <c r="E71" s="562"/>
      <c r="F71" s="562"/>
      <c r="G71" s="562"/>
      <c r="H71" s="562"/>
      <c r="I71" s="562"/>
      <c r="J71" s="562"/>
      <c r="K71" s="562"/>
      <c r="L71" s="562"/>
      <c r="M71" s="562"/>
      <c r="N71" s="562"/>
      <c r="O71" s="562"/>
      <c r="P71" s="562"/>
      <c r="Q71" s="562"/>
      <c r="R71" s="562"/>
      <c r="S71" s="562"/>
      <c r="T71" s="562"/>
      <c r="U71" s="562"/>
      <c r="V71" s="562"/>
      <c r="W71" s="562"/>
      <c r="X71" s="562"/>
      <c r="Y71" s="562"/>
      <c r="Z71" s="562"/>
      <c r="AA71" s="562"/>
      <c r="AB71" s="562"/>
      <c r="AC71" s="562"/>
      <c r="AD71" s="562"/>
      <c r="AE71" s="562"/>
      <c r="AF71" s="562"/>
      <c r="AG71" s="562"/>
      <c r="AH71" s="562"/>
      <c r="AI71" s="562"/>
      <c r="AJ71" s="562"/>
      <c r="AK71" s="562"/>
      <c r="AL71" s="562"/>
      <c r="AM71" s="563"/>
      <c r="AN71" s="160"/>
    </row>
    <row r="72" spans="1:40" ht="17.100000000000001" customHeight="1" x14ac:dyDescent="0.25">
      <c r="C72" s="157"/>
      <c r="D72" s="564"/>
      <c r="E72" s="565"/>
      <c r="F72" s="565"/>
      <c r="G72" s="565"/>
      <c r="H72" s="565"/>
      <c r="I72" s="565"/>
      <c r="J72" s="565"/>
      <c r="K72" s="565"/>
      <c r="L72" s="565"/>
      <c r="M72" s="565"/>
      <c r="N72" s="565"/>
      <c r="O72" s="565"/>
      <c r="P72" s="565"/>
      <c r="Q72" s="565"/>
      <c r="R72" s="565"/>
      <c r="S72" s="565"/>
      <c r="T72" s="565"/>
      <c r="U72" s="565"/>
      <c r="V72" s="565"/>
      <c r="W72" s="565"/>
      <c r="X72" s="565"/>
      <c r="Y72" s="565"/>
      <c r="Z72" s="565"/>
      <c r="AA72" s="565"/>
      <c r="AB72" s="565"/>
      <c r="AC72" s="565"/>
      <c r="AD72" s="565"/>
      <c r="AE72" s="565"/>
      <c r="AF72" s="565"/>
      <c r="AG72" s="565"/>
      <c r="AH72" s="565"/>
      <c r="AI72" s="565"/>
      <c r="AJ72" s="565"/>
      <c r="AK72" s="565"/>
      <c r="AL72" s="565"/>
      <c r="AM72" s="566"/>
      <c r="AN72" s="160"/>
    </row>
    <row r="73" spans="1:40" ht="17.100000000000001" customHeight="1" x14ac:dyDescent="0.25">
      <c r="C73" s="157"/>
      <c r="D73" s="564"/>
      <c r="E73" s="565"/>
      <c r="F73" s="565"/>
      <c r="G73" s="565"/>
      <c r="H73" s="565"/>
      <c r="I73" s="565"/>
      <c r="J73" s="565"/>
      <c r="K73" s="565"/>
      <c r="L73" s="565"/>
      <c r="M73" s="565"/>
      <c r="N73" s="565"/>
      <c r="O73" s="565"/>
      <c r="P73" s="565"/>
      <c r="Q73" s="565"/>
      <c r="R73" s="565"/>
      <c r="S73" s="565"/>
      <c r="T73" s="565"/>
      <c r="U73" s="565"/>
      <c r="V73" s="565"/>
      <c r="W73" s="565"/>
      <c r="X73" s="565"/>
      <c r="Y73" s="565"/>
      <c r="Z73" s="565"/>
      <c r="AA73" s="565"/>
      <c r="AB73" s="565"/>
      <c r="AC73" s="565"/>
      <c r="AD73" s="565"/>
      <c r="AE73" s="565"/>
      <c r="AF73" s="565"/>
      <c r="AG73" s="565"/>
      <c r="AH73" s="565"/>
      <c r="AI73" s="565"/>
      <c r="AJ73" s="565"/>
      <c r="AK73" s="565"/>
      <c r="AL73" s="565"/>
      <c r="AM73" s="566"/>
      <c r="AN73" s="160"/>
    </row>
    <row r="74" spans="1:40" ht="17.100000000000001" customHeight="1" x14ac:dyDescent="0.25">
      <c r="C74" s="157"/>
      <c r="D74" s="564"/>
      <c r="E74" s="565"/>
      <c r="F74" s="565"/>
      <c r="G74" s="565"/>
      <c r="H74" s="565"/>
      <c r="I74" s="565"/>
      <c r="J74" s="565"/>
      <c r="K74" s="565"/>
      <c r="L74" s="565"/>
      <c r="M74" s="565"/>
      <c r="N74" s="565"/>
      <c r="O74" s="565"/>
      <c r="P74" s="565"/>
      <c r="Q74" s="565"/>
      <c r="R74" s="565"/>
      <c r="S74" s="565"/>
      <c r="T74" s="565"/>
      <c r="U74" s="565"/>
      <c r="V74" s="565"/>
      <c r="W74" s="565"/>
      <c r="X74" s="565"/>
      <c r="Y74" s="565"/>
      <c r="Z74" s="565"/>
      <c r="AA74" s="565"/>
      <c r="AB74" s="565"/>
      <c r="AC74" s="565"/>
      <c r="AD74" s="565"/>
      <c r="AE74" s="565"/>
      <c r="AF74" s="565"/>
      <c r="AG74" s="565"/>
      <c r="AH74" s="565"/>
      <c r="AI74" s="565"/>
      <c r="AJ74" s="565"/>
      <c r="AK74" s="565"/>
      <c r="AL74" s="565"/>
      <c r="AM74" s="566"/>
      <c r="AN74" s="160"/>
    </row>
    <row r="75" spans="1:40" ht="17.100000000000001" customHeight="1" thickBot="1" x14ac:dyDescent="0.3">
      <c r="C75" s="157"/>
      <c r="D75" s="567"/>
      <c r="E75" s="568"/>
      <c r="F75" s="568"/>
      <c r="G75" s="568"/>
      <c r="H75" s="568"/>
      <c r="I75" s="568"/>
      <c r="J75" s="568"/>
      <c r="K75" s="568"/>
      <c r="L75" s="568"/>
      <c r="M75" s="568"/>
      <c r="N75" s="568"/>
      <c r="O75" s="568"/>
      <c r="P75" s="568"/>
      <c r="Q75" s="568"/>
      <c r="R75" s="568"/>
      <c r="S75" s="568"/>
      <c r="T75" s="568"/>
      <c r="U75" s="568"/>
      <c r="V75" s="568"/>
      <c r="W75" s="568"/>
      <c r="X75" s="568"/>
      <c r="Y75" s="568"/>
      <c r="Z75" s="568"/>
      <c r="AA75" s="568"/>
      <c r="AB75" s="568"/>
      <c r="AC75" s="568"/>
      <c r="AD75" s="568"/>
      <c r="AE75" s="568"/>
      <c r="AF75" s="568"/>
      <c r="AG75" s="568"/>
      <c r="AH75" s="568"/>
      <c r="AI75" s="568"/>
      <c r="AJ75" s="568"/>
      <c r="AK75" s="568"/>
      <c r="AL75" s="568"/>
      <c r="AM75" s="569"/>
      <c r="AN75" s="160"/>
    </row>
    <row r="76" spans="1:40" ht="17.100000000000001" customHeight="1" x14ac:dyDescent="0.25">
      <c r="C76" s="157"/>
      <c r="AN76" s="160"/>
    </row>
    <row r="77" spans="1:40" ht="17.100000000000001" customHeight="1" x14ac:dyDescent="0.25">
      <c r="C77" s="558" t="str">
        <f>IF(Sprache="English","issue date:",IF(Sprache="Deutsch","Erstelldatum",""))</f>
        <v>Erstelldatum</v>
      </c>
      <c r="D77" s="559"/>
      <c r="E77" s="559"/>
      <c r="F77" s="559"/>
      <c r="G77" s="559"/>
      <c r="H77" s="559"/>
      <c r="I77" s="557" t="str">
        <f>TEXT(Infos!$B$6, "TT-MMM-JJJJ")</f>
        <v>00-Jan-1900</v>
      </c>
      <c r="J77" s="557"/>
      <c r="K77" s="557"/>
      <c r="L77" s="557"/>
      <c r="M77" s="557"/>
      <c r="N77" s="557"/>
      <c r="O77" s="432" t="str">
        <f>IF(Sprache="English","issued by:",IF(Sprache="Deutsch","durchgeführt von:",""))</f>
        <v>durchgeführt von:</v>
      </c>
      <c r="P77" s="432"/>
      <c r="Q77" s="432"/>
      <c r="R77" s="432"/>
      <c r="S77" s="512">
        <f>Infos!D5</f>
        <v>0</v>
      </c>
      <c r="T77" s="512"/>
      <c r="U77" s="512"/>
      <c r="V77" s="432"/>
      <c r="W77" s="432"/>
      <c r="X77" s="432"/>
      <c r="Y77" s="432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136"/>
    </row>
    <row r="78" spans="1:40" ht="17.100000000000001" customHeight="1" thickBot="1" x14ac:dyDescent="0.3">
      <c r="C78" s="162"/>
      <c r="D78" s="159"/>
      <c r="E78" s="159"/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59"/>
      <c r="AE78" s="159"/>
      <c r="AF78" s="159"/>
      <c r="AG78" s="159"/>
      <c r="AH78" s="159"/>
      <c r="AI78" s="159"/>
      <c r="AJ78" s="159"/>
      <c r="AK78" s="159"/>
      <c r="AL78" s="159"/>
      <c r="AM78" s="159"/>
      <c r="AN78" s="173"/>
    </row>
    <row r="80" spans="1:40" ht="17.100000000000001" customHeight="1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</row>
    <row r="81" spans="1:38" ht="17.100000000000001" customHeight="1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</row>
    <row r="88" spans="1:38" ht="17.100000000000001" customHeight="1" x14ac:dyDescent="0.25">
      <c r="Z88" s="174"/>
      <c r="AA88" s="174"/>
      <c r="AB88" s="174"/>
      <c r="AC88" s="174"/>
      <c r="AD88" s="174"/>
      <c r="AE88" s="174"/>
      <c r="AF88" s="175"/>
    </row>
    <row r="89" spans="1:38" ht="17.100000000000001" customHeight="1" x14ac:dyDescent="0.25">
      <c r="AC89" s="176"/>
      <c r="AD89" s="176"/>
      <c r="AE89" s="176"/>
    </row>
    <row r="100" spans="1:5" ht="17.100000000000001" customHeight="1" x14ac:dyDescent="0.25">
      <c r="A100" s="307" t="str">
        <f>IF(Sprache="English","parameter",IF(Sprache="Deutsch","Einstellrichtwerte",""))</f>
        <v>Einstellrichtwerte</v>
      </c>
      <c r="B100" s="199" t="str">
        <f>A100</f>
        <v>Einstellrichtwerte</v>
      </c>
      <c r="C100" s="199"/>
      <c r="D100" s="199"/>
      <c r="E100" s="199"/>
    </row>
  </sheetData>
  <sheetProtection sheet="1" scenarios="1" formatCells="0" formatColumns="0" formatRows="0" insertRows="0" insertHyperlinks="0" deleteRows="0" selectLockedCells="1"/>
  <customSheetViews>
    <customSheetView guid="{6DE06876-0E46-46FE-AC8C-8F0FAAA09620}" showRuler="0">
      <selection activeCell="S24" sqref="S24:U24"/>
      <pageMargins left="0.39370078740157483" right="0.27559055118110237" top="0.86614173228346458" bottom="0.35433070866141736" header="0.31496062992125984" footer="0.27559055118110237"/>
      <pageSetup paperSize="9" scale="68" orientation="portrait" horizontalDpi="1200" verticalDpi="1200" r:id="rId1"/>
      <headerFooter alignWithMargins="0">
        <oddHeader>&amp;L&amp;"WERFO AG,Regular"&amp;28BC&amp;C
Einstellrichtwerte Bemusterung&amp;R&amp;8
Einstellrichtwerte_Anschlussplan</oddHeader>
        <oddFooter>&amp;LErstellt&amp;&amp;[Datum]/HLN
Freigegeben &amp;CWerfo
Bemusterung</oddFooter>
      </headerFooter>
    </customSheetView>
  </customSheetViews>
  <mergeCells count="345">
    <mergeCell ref="D65:E65"/>
    <mergeCell ref="D66:E66"/>
    <mergeCell ref="D67:E67"/>
    <mergeCell ref="D68:E68"/>
    <mergeCell ref="D69:E69"/>
    <mergeCell ref="D70:G70"/>
    <mergeCell ref="C2:G2"/>
    <mergeCell ref="H2:S2"/>
    <mergeCell ref="V77:Y77"/>
    <mergeCell ref="P5:T5"/>
    <mergeCell ref="P6:T6"/>
    <mergeCell ref="P7:T7"/>
    <mergeCell ref="O77:R77"/>
    <mergeCell ref="S77:U77"/>
    <mergeCell ref="F59:K59"/>
    <mergeCell ref="F57:K57"/>
    <mergeCell ref="L57:N57"/>
    <mergeCell ref="D53:E53"/>
    <mergeCell ref="D54:E54"/>
    <mergeCell ref="D55:E55"/>
    <mergeCell ref="D56:E56"/>
    <mergeCell ref="D57:E57"/>
    <mergeCell ref="F48:K48"/>
    <mergeCell ref="L61:N61"/>
    <mergeCell ref="F60:K60"/>
    <mergeCell ref="L52:N52"/>
    <mergeCell ref="L47:R47"/>
    <mergeCell ref="S59:X59"/>
    <mergeCell ref="L59:R59"/>
    <mergeCell ref="F53:K53"/>
    <mergeCell ref="L53:N53"/>
    <mergeCell ref="F54:K54"/>
    <mergeCell ref="L54:N54"/>
    <mergeCell ref="F55:K55"/>
    <mergeCell ref="F50:K50"/>
    <mergeCell ref="L50:N50"/>
    <mergeCell ref="F51:K51"/>
    <mergeCell ref="L51:N51"/>
    <mergeCell ref="F52:K52"/>
    <mergeCell ref="AL43:AM43"/>
    <mergeCell ref="T17:V17"/>
    <mergeCell ref="AH18:AJ18"/>
    <mergeCell ref="P43:Q43"/>
    <mergeCell ref="R43:S43"/>
    <mergeCell ref="AL11:AM11"/>
    <mergeCell ref="AL12:AM12"/>
    <mergeCell ref="D42:E42"/>
    <mergeCell ref="S47:X47"/>
    <mergeCell ref="H44:I44"/>
    <mergeCell ref="AJ38:AK38"/>
    <mergeCell ref="C46:H46"/>
    <mergeCell ref="J42:K42"/>
    <mergeCell ref="H42:I42"/>
    <mergeCell ref="N42:O42"/>
    <mergeCell ref="P41:Q41"/>
    <mergeCell ref="N34:O34"/>
    <mergeCell ref="N35:O35"/>
    <mergeCell ref="C32:F32"/>
    <mergeCell ref="D44:E44"/>
    <mergeCell ref="J33:L33"/>
    <mergeCell ref="I29:K29"/>
    <mergeCell ref="D34:I34"/>
    <mergeCell ref="N43:O43"/>
    <mergeCell ref="F65:K65"/>
    <mergeCell ref="L65:N65"/>
    <mergeCell ref="F64:K64"/>
    <mergeCell ref="L64:N64"/>
    <mergeCell ref="F62:K62"/>
    <mergeCell ref="L62:N62"/>
    <mergeCell ref="F63:K63"/>
    <mergeCell ref="L63:N63"/>
    <mergeCell ref="D48:E48"/>
    <mergeCell ref="D49:E49"/>
    <mergeCell ref="D50:E50"/>
    <mergeCell ref="D51:E51"/>
    <mergeCell ref="D52:E52"/>
    <mergeCell ref="D60:E60"/>
    <mergeCell ref="D61:E61"/>
    <mergeCell ref="D62:E62"/>
    <mergeCell ref="D63:E63"/>
    <mergeCell ref="D64:E64"/>
    <mergeCell ref="F49:K49"/>
    <mergeCell ref="L49:N49"/>
    <mergeCell ref="L60:N60"/>
    <mergeCell ref="F56:K56"/>
    <mergeCell ref="L56:N56"/>
    <mergeCell ref="L55:N55"/>
    <mergeCell ref="F61:K61"/>
    <mergeCell ref="F47:K47"/>
    <mergeCell ref="V2:X2"/>
    <mergeCell ref="C4:H4"/>
    <mergeCell ref="C10:D10"/>
    <mergeCell ref="C37:I37"/>
    <mergeCell ref="C40:J40"/>
    <mergeCell ref="L37:M37"/>
    <mergeCell ref="N37:O37"/>
    <mergeCell ref="P37:Q37"/>
    <mergeCell ref="R37:S37"/>
    <mergeCell ref="V5:W5"/>
    <mergeCell ref="C5:F5"/>
    <mergeCell ref="C6:F6"/>
    <mergeCell ref="C7:F7"/>
    <mergeCell ref="G6:K6"/>
    <mergeCell ref="J44:K44"/>
    <mergeCell ref="L48:N48"/>
    <mergeCell ref="L44:M44"/>
    <mergeCell ref="N44:O44"/>
    <mergeCell ref="F44:G44"/>
    <mergeCell ref="P44:Q44"/>
    <mergeCell ref="L29:M29"/>
    <mergeCell ref="F42:G42"/>
    <mergeCell ref="I77:N77"/>
    <mergeCell ref="C77:H77"/>
    <mergeCell ref="F66:K66"/>
    <mergeCell ref="L66:N66"/>
    <mergeCell ref="F67:K67"/>
    <mergeCell ref="L67:N67"/>
    <mergeCell ref="F68:K68"/>
    <mergeCell ref="L68:N68"/>
    <mergeCell ref="L69:N69"/>
    <mergeCell ref="F69:K69"/>
    <mergeCell ref="D71:AM75"/>
    <mergeCell ref="T44:U44"/>
    <mergeCell ref="K14:M14"/>
    <mergeCell ref="N38:O38"/>
    <mergeCell ref="L42:M42"/>
    <mergeCell ref="J34:M34"/>
    <mergeCell ref="J35:M35"/>
    <mergeCell ref="D35:I35"/>
    <mergeCell ref="D41:E41"/>
    <mergeCell ref="F41:G41"/>
    <mergeCell ref="H41:I41"/>
    <mergeCell ref="J41:K41"/>
    <mergeCell ref="L41:M41"/>
    <mergeCell ref="N41:O41"/>
    <mergeCell ref="I27:K27"/>
    <mergeCell ref="L26:M26"/>
    <mergeCell ref="L40:N40"/>
    <mergeCell ref="P38:Q38"/>
    <mergeCell ref="R38:S38"/>
    <mergeCell ref="L38:M38"/>
    <mergeCell ref="R44:S44"/>
    <mergeCell ref="J43:K43"/>
    <mergeCell ref="L43:M43"/>
    <mergeCell ref="D43:E43"/>
    <mergeCell ref="C23:F23"/>
    <mergeCell ref="T43:U43"/>
    <mergeCell ref="L28:M28"/>
    <mergeCell ref="I30:K30"/>
    <mergeCell ref="L30:M30"/>
    <mergeCell ref="C11:F11"/>
    <mergeCell ref="T11:X11"/>
    <mergeCell ref="C12:D12"/>
    <mergeCell ref="C13:F13"/>
    <mergeCell ref="P42:Q42"/>
    <mergeCell ref="T42:U42"/>
    <mergeCell ref="P35:Q35"/>
    <mergeCell ref="P34:Q34"/>
    <mergeCell ref="P33:Q33"/>
    <mergeCell ref="N33:O33"/>
    <mergeCell ref="F43:G43"/>
    <mergeCell ref="H43:I43"/>
    <mergeCell ref="Q21:T21"/>
    <mergeCell ref="V37:W37"/>
    <mergeCell ref="T37:U37"/>
    <mergeCell ref="D33:I33"/>
    <mergeCell ref="N32:Q32"/>
    <mergeCell ref="V38:W38"/>
    <mergeCell ref="T38:U38"/>
    <mergeCell ref="R42:S42"/>
    <mergeCell ref="V41:W41"/>
    <mergeCell ref="L27:M27"/>
    <mergeCell ref="I24:K24"/>
    <mergeCell ref="X37:Y37"/>
    <mergeCell ref="AF41:AG41"/>
    <mergeCell ref="AH37:AI37"/>
    <mergeCell ref="R41:S41"/>
    <mergeCell ref="T41:U41"/>
    <mergeCell ref="AB38:AC38"/>
    <mergeCell ref="AF38:AG38"/>
    <mergeCell ref="X41:Y41"/>
    <mergeCell ref="Z38:AA38"/>
    <mergeCell ref="I26:K26"/>
    <mergeCell ref="Q28:S28"/>
    <mergeCell ref="Q26:T26"/>
    <mergeCell ref="AD37:AE37"/>
    <mergeCell ref="AB37:AC37"/>
    <mergeCell ref="AF37:AG37"/>
    <mergeCell ref="AD38:AE38"/>
    <mergeCell ref="I28:K28"/>
    <mergeCell ref="L24:M24"/>
    <mergeCell ref="L25:M25"/>
    <mergeCell ref="V28:X28"/>
    <mergeCell ref="I25:K25"/>
    <mergeCell ref="G5:M5"/>
    <mergeCell ref="I20:L20"/>
    <mergeCell ref="AE16:AI16"/>
    <mergeCell ref="C19:H19"/>
    <mergeCell ref="I18:K18"/>
    <mergeCell ref="I19:K19"/>
    <mergeCell ref="L23:M23"/>
    <mergeCell ref="W19:Y19"/>
    <mergeCell ref="W18:Y18"/>
    <mergeCell ref="W17:Y17"/>
    <mergeCell ref="T19:V19"/>
    <mergeCell ref="T18:V18"/>
    <mergeCell ref="I17:L17"/>
    <mergeCell ref="C18:H18"/>
    <mergeCell ref="C17:H17"/>
    <mergeCell ref="C20:H20"/>
    <mergeCell ref="C21:H21"/>
    <mergeCell ref="C22:F22"/>
    <mergeCell ref="I23:K23"/>
    <mergeCell ref="I21:L21"/>
    <mergeCell ref="W21:Y21"/>
    <mergeCell ref="AA10:AC10"/>
    <mergeCell ref="C14:G14"/>
    <mergeCell ref="Q12:S12"/>
    <mergeCell ref="C16:G16"/>
    <mergeCell ref="T14:X14"/>
    <mergeCell ref="T12:X12"/>
    <mergeCell ref="Q14:S14"/>
    <mergeCell ref="AE7:AH7"/>
    <mergeCell ref="AE8:AH8"/>
    <mergeCell ref="AH12:AJ12"/>
    <mergeCell ref="AI8:AM8"/>
    <mergeCell ref="AH13:AJ13"/>
    <mergeCell ref="AA14:AG14"/>
    <mergeCell ref="G7:K7"/>
    <mergeCell ref="Q10:R10"/>
    <mergeCell ref="Q11:S11"/>
    <mergeCell ref="I13:M13"/>
    <mergeCell ref="Q13:S13"/>
    <mergeCell ref="I11:M11"/>
    <mergeCell ref="I12:M12"/>
    <mergeCell ref="I14:J14"/>
    <mergeCell ref="AI5:AM5"/>
    <mergeCell ref="AH14:AJ14"/>
    <mergeCell ref="AK10:AM10"/>
    <mergeCell ref="T20:V20"/>
    <mergeCell ref="AA13:AD13"/>
    <mergeCell ref="T13:X13"/>
    <mergeCell ref="AL13:AM13"/>
    <mergeCell ref="AH6:AM6"/>
    <mergeCell ref="AI7:AM7"/>
    <mergeCell ref="AE5:AG5"/>
    <mergeCell ref="U6:Z6"/>
    <mergeCell ref="AL14:AM14"/>
    <mergeCell ref="AA12:AD12"/>
    <mergeCell ref="Z37:AA37"/>
    <mergeCell ref="W20:Y20"/>
    <mergeCell ref="Q16:S16"/>
    <mergeCell ref="AL38:AM38"/>
    <mergeCell ref="AM35:AN35"/>
    <mergeCell ref="AA35:AF35"/>
    <mergeCell ref="AH26:AJ26"/>
    <mergeCell ref="AH25:AJ25"/>
    <mergeCell ref="AK19:AM19"/>
    <mergeCell ref="AK26:AM26"/>
    <mergeCell ref="AK24:AM24"/>
    <mergeCell ref="AK25:AM25"/>
    <mergeCell ref="AK28:AM28"/>
    <mergeCell ref="Z20:AA20"/>
    <mergeCell ref="Y26:Z26"/>
    <mergeCell ref="AK27:AM27"/>
    <mergeCell ref="AK21:AM21"/>
    <mergeCell ref="AK23:AM23"/>
    <mergeCell ref="AH23:AJ23"/>
    <mergeCell ref="AK22:AM22"/>
    <mergeCell ref="AH19:AJ19"/>
    <mergeCell ref="AH20:AJ20"/>
    <mergeCell ref="Z19:AA19"/>
    <mergeCell ref="X38:Y38"/>
    <mergeCell ref="AH41:AI41"/>
    <mergeCell ref="U26:X26"/>
    <mergeCell ref="AL37:AM37"/>
    <mergeCell ref="AJ37:AK37"/>
    <mergeCell ref="AK18:AM18"/>
    <mergeCell ref="Z18:AA18"/>
    <mergeCell ref="AK20:AM20"/>
    <mergeCell ref="AM33:AN33"/>
    <mergeCell ref="AG35:AJ35"/>
    <mergeCell ref="AM34:AN34"/>
    <mergeCell ref="AA34:AF34"/>
    <mergeCell ref="AG34:AJ34"/>
    <mergeCell ref="AH21:AJ21"/>
    <mergeCell ref="AH22:AJ22"/>
    <mergeCell ref="AH24:AJ24"/>
    <mergeCell ref="AH28:AJ28"/>
    <mergeCell ref="AK35:AL35"/>
    <mergeCell ref="AG33:AJ33"/>
    <mergeCell ref="AA33:AF33"/>
    <mergeCell ref="AK33:AL33"/>
    <mergeCell ref="AK34:AL34"/>
    <mergeCell ref="Y28:Z28"/>
    <mergeCell ref="AH27:AJ27"/>
    <mergeCell ref="AK32:AN32"/>
    <mergeCell ref="AH1:AM1"/>
    <mergeCell ref="Y25:Z25"/>
    <mergeCell ref="V44:W44"/>
    <mergeCell ref="AB43:AC43"/>
    <mergeCell ref="AD43:AE43"/>
    <mergeCell ref="AH44:AI44"/>
    <mergeCell ref="AJ42:AK42"/>
    <mergeCell ref="AL42:AM42"/>
    <mergeCell ref="AH42:AI42"/>
    <mergeCell ref="AJ41:AK41"/>
    <mergeCell ref="AL41:AM41"/>
    <mergeCell ref="AJ44:AK44"/>
    <mergeCell ref="AL44:AM44"/>
    <mergeCell ref="V43:W43"/>
    <mergeCell ref="V42:W42"/>
    <mergeCell ref="AD42:AE42"/>
    <mergeCell ref="AD44:AE44"/>
    <mergeCell ref="X44:Y44"/>
    <mergeCell ref="AB44:AC44"/>
    <mergeCell ref="Z44:AA44"/>
    <mergeCell ref="AF44:AG44"/>
    <mergeCell ref="AH43:AI43"/>
    <mergeCell ref="AF43:AG43"/>
    <mergeCell ref="AJ43:AK43"/>
    <mergeCell ref="AH2:AM2"/>
    <mergeCell ref="X43:Y43"/>
    <mergeCell ref="C1:G1"/>
    <mergeCell ref="H1:S1"/>
    <mergeCell ref="Z43:AA43"/>
    <mergeCell ref="AH38:AI38"/>
    <mergeCell ref="X42:Y42"/>
    <mergeCell ref="AF42:AG42"/>
    <mergeCell ref="Z42:AA42"/>
    <mergeCell ref="AB42:AC42"/>
    <mergeCell ref="Z41:AA41"/>
    <mergeCell ref="AB41:AC41"/>
    <mergeCell ref="AD41:AE41"/>
    <mergeCell ref="X5:Z5"/>
    <mergeCell ref="AE6:AG6"/>
    <mergeCell ref="AE1:AG1"/>
    <mergeCell ref="U7:Z7"/>
    <mergeCell ref="AH10:AJ10"/>
    <mergeCell ref="AH11:AJ11"/>
    <mergeCell ref="AA11:AF11"/>
    <mergeCell ref="Y1:AC1"/>
    <mergeCell ref="Y2:AC2"/>
    <mergeCell ref="V1:X1"/>
    <mergeCell ref="AE2:AF2"/>
  </mergeCells>
  <phoneticPr fontId="0" type="noConversion"/>
  <conditionalFormatting sqref="I11:M14 T11:X13 V5:Z5 AI8:AM8 AH19:AM28 W21:Y21 T38:AM38 D42:AM42 D44:AM44 Y1:AC2 J34:M35 I17:L17 AG33:AJ35 T18:AA20 I24:M30 AH1:AH2 I20:L21 I18:I19 L18:L19 I23 L23 J33 M33 H1:H2">
    <cfRule type="containsBlanks" dxfId="58" priority="15">
      <formula>LEN(TRIM(D1))=0</formula>
    </cfRule>
  </conditionalFormatting>
  <conditionalFormatting sqref="P48:P57 T48:T57 AB48:AB57 X48:X57 AF48:AF57 AJ48:AJ57 R48:R57 Z48:Z57 AH48:AH57 AD48:AD57 AL48:AL57 AL60:AL69 AJ60:AJ69 AH60:AH69 AF60:AF69 AD60:AD69 AB60:AB69 Z60:Z69 X60:X69 V60:V69 T60:T69 R60:R69 P60:P69 V48:V57">
    <cfRule type="containsBlanks" dxfId="57" priority="12">
      <formula>LEN(TRIM(P48))=0</formula>
    </cfRule>
  </conditionalFormatting>
  <conditionalFormatting sqref="AA25:AB26">
    <cfRule type="containsBlanks" dxfId="56" priority="14">
      <formula>LEN(TRIM(AA25))=0</formula>
    </cfRule>
  </conditionalFormatting>
  <conditionalFormatting sqref="Y28:Z28">
    <cfRule type="containsBlanks" dxfId="55" priority="11">
      <formula>LEN(TRIM(Y28))=0</formula>
    </cfRule>
  </conditionalFormatting>
  <conditionalFormatting sqref="L38:S38">
    <cfRule type="containsBlanks" dxfId="54" priority="10">
      <formula>LEN(TRIM(L38))=0</formula>
    </cfRule>
  </conditionalFormatting>
  <conditionalFormatting sqref="F50:N57">
    <cfRule type="cellIs" dxfId="53" priority="9" operator="equal">
      <formula>0</formula>
    </cfRule>
  </conditionalFormatting>
  <conditionalFormatting sqref="F64:N69">
    <cfRule type="cellIs" dxfId="52" priority="8" operator="equal">
      <formula>0</formula>
    </cfRule>
  </conditionalFormatting>
  <conditionalFormatting sqref="AH11:AJ13">
    <cfRule type="containsBlanks" dxfId="51" priority="7">
      <formula>LEN(TRIM(AH11))=0</formula>
    </cfRule>
  </conditionalFormatting>
  <conditionalFormatting sqref="AI7:AM7">
    <cfRule type="containsBlanks" dxfId="50" priority="6">
      <formula>LEN(TRIM(AI7))=0</formula>
    </cfRule>
  </conditionalFormatting>
  <conditionalFormatting sqref="AH14:AJ14">
    <cfRule type="containsBlanks" dxfId="49" priority="5">
      <formula>LEN(TRIM(AH14))=0</formula>
    </cfRule>
  </conditionalFormatting>
  <conditionalFormatting sqref="AK11:AM14 N33:Q35 AK33:AN35">
    <cfRule type="containsBlanks" dxfId="48" priority="4">
      <formula>LEN(TRIM(N11))=0</formula>
    </cfRule>
  </conditionalFormatting>
  <conditionalFormatting sqref="AK18:AM18">
    <cfRule type="containsBlanks" dxfId="47" priority="3">
      <formula>LEN(TRIM(AK18))=0</formula>
    </cfRule>
  </conditionalFormatting>
  <conditionalFormatting sqref="F48:N49">
    <cfRule type="cellIs" dxfId="46" priority="2" operator="equal">
      <formula>0</formula>
    </cfRule>
  </conditionalFormatting>
  <conditionalFormatting sqref="F60:N63">
    <cfRule type="cellIs" dxfId="45" priority="1" operator="equal">
      <formula>0</formula>
    </cfRule>
  </conditionalFormatting>
  <pageMargins left="0.55118110236220474" right="0.23622047244094491" top="0.9055118110236221" bottom="0.47244094488188981" header="0.51181102362204722" footer="0.19685039370078741"/>
  <pageSetup paperSize="9" scale="35" orientation="portrait" r:id="rId2"/>
  <headerFooter alignWithMargins="0">
    <oddHeader>&amp;R&amp;G&amp;L&amp;"Arial,Bold"&amp;26Produktion&amp;C&amp;"Arial,Bold"&amp;32Einstellrichtwerte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34" r:id="rId6" name="Button 90">
              <controlPr defaultSize="0" print="0" autoFill="0" autoPict="0" macro="[0]!Tabelle4.Speichern_Produktion">
                <anchor>
                  <from>
                    <xdr:col>44</xdr:col>
                    <xdr:colOff>121920</xdr:colOff>
                    <xdr:row>5</xdr:row>
                    <xdr:rowOff>7620</xdr:rowOff>
                  </from>
                  <to>
                    <xdr:col>52</xdr:col>
                    <xdr:colOff>121920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7" name="Button 91">
              <controlPr defaultSize="0" print="0" autoFill="0" autoPict="0" macro="[0]!Tabelle4.Speichern_ODI2">
                <anchor>
                  <from>
                    <xdr:col>54</xdr:col>
                    <xdr:colOff>228600</xdr:colOff>
                    <xdr:row>5</xdr:row>
                    <xdr:rowOff>7620</xdr:rowOff>
                  </from>
                  <to>
                    <xdr:col>61</xdr:col>
                    <xdr:colOff>160020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8" name="Button 92">
              <controlPr defaultSize="0" print="0" autoFill="0" autoPict="0" macro="[0]!Tabelle4.Speichern_ODI3">
                <anchor>
                  <from>
                    <xdr:col>64</xdr:col>
                    <xdr:colOff>114300</xdr:colOff>
                    <xdr:row>4</xdr:row>
                    <xdr:rowOff>190500</xdr:rowOff>
                  </from>
                  <to>
                    <xdr:col>71</xdr:col>
                    <xdr:colOff>68580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0000000-0002-0000-0300-000003000000}">
          <x14:formula1>
            <xm:f>Infos!$A$40:$A$43</xm:f>
          </x14:formula1>
          <xm:sqref>T17:V17</xm:sqref>
        </x14:dataValidation>
        <x14:dataValidation type="list" allowBlank="1" showInputMessage="1" showErrorMessage="1" xr:uid="{00000000-0002-0000-0300-000004000000}">
          <x14:formula1>
            <xm:f>Infos!$B$40:$B$41</xm:f>
          </x14:formula1>
          <xm:sqref>W17:Y17</xm:sqref>
        </x14:dataValidation>
        <x14:dataValidation type="list" allowBlank="1" showInputMessage="1" showErrorMessage="1" xr:uid="{00000000-0002-0000-0300-000005000000}">
          <x14:formula1>
            <xm:f>Infos!$E$37:$E$38</xm:f>
          </x14:formula1>
          <xm:sqref>V28:X28</xm:sqref>
        </x14:dataValidation>
        <x14:dataValidation type="list" allowBlank="1" showInputMessage="1" showErrorMessage="1" xr:uid="{00000000-0002-0000-0300-000006000000}">
          <x14:formula1>
            <xm:f>Infos!$A$34:$A$36</xm:f>
          </x14:formula1>
          <xm:sqref>AH18</xm:sqref>
        </x14:dataValidation>
        <x14:dataValidation type="list" allowBlank="1" showInputMessage="1" showErrorMessage="1" xr:uid="{00000000-0002-0000-0300-000007000000}">
          <x14:formula1>
            <xm:f>Infos!$A$10:$A$18</xm:f>
          </x14:formula1>
          <xm:sqref>U6:Z6</xm:sqref>
        </x14:dataValidation>
        <x14:dataValidation type="list" allowBlank="1" showInputMessage="1" showErrorMessage="1" xr:uid="{00000000-0002-0000-0300-000008000000}">
          <x14:formula1>
            <xm:f>Infos!$I$50:$I$53</xm:f>
          </x14:formula1>
          <xm:sqref>AH6:AM6</xm:sqref>
        </x14:dataValidation>
        <x14:dataValidation type="list" allowBlank="1" showInputMessage="1" showErrorMessage="1" xr:uid="{00000000-0002-0000-0300-000009000000}">
          <x14:formula1>
            <xm:f>Infos!$A$47:$A$54</xm:f>
          </x14:formula1>
          <xm:sqref>G5:M5</xm:sqref>
        </x14:dataValidation>
        <x14:dataValidation type="list" allowBlank="1" showInputMessage="1" showErrorMessage="1" xr:uid="{00000000-0002-0000-0300-00000A000000}">
          <x14:formula1>
            <xm:f>Infos!$E$50:$E$53</xm:f>
          </x14:formula1>
          <xm:sqref>G7:K7</xm:sqref>
        </x14:dataValidation>
        <x14:dataValidation type="list" allowBlank="1" showInputMessage="1" showErrorMessage="1" xr:uid="{00000000-0002-0000-0300-00000B000000}">
          <x14:formula1>
            <xm:f>Infos!$H$34:$H$36</xm:f>
          </x14:formula1>
          <xm:sqref>U26:X26</xm:sqref>
        </x14:dataValidation>
        <x14:dataValidation type="list" allowBlank="1" showInputMessage="1" showErrorMessage="1" xr:uid="{00000000-0002-0000-0300-000000000000}">
          <x14:formula1>
            <xm:f>Infos!#REF!</xm:f>
          </x14:formula1>
          <xm:sqref>G8:K8</xm:sqref>
        </x14:dataValidation>
        <x14:dataValidation type="list" allowBlank="1" showInputMessage="1" showErrorMessage="1" xr:uid="{00000000-0002-0000-0300-000001000000}">
          <x14:formula1>
            <xm:f>Infos!$A$26:$A$29</xm:f>
          </x14:formula1>
          <xm:sqref>AI5:AM5</xm:sqref>
        </x14:dataValidation>
        <x14:dataValidation type="list" allowBlank="1" showInputMessage="1" showErrorMessage="1" xr:uid="{00000000-0002-0000-0300-000002000000}">
          <x14:formula1>
            <xm:f>Infos!$E$10:$E$20</xm:f>
          </x14:formula1>
          <xm:sqref>T14:X14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>
    <pageSetUpPr fitToPage="1"/>
  </sheetPr>
  <dimension ref="A1:AL100"/>
  <sheetViews>
    <sheetView showGridLines="0" view="pageLayout" zoomScale="70" zoomScaleNormal="85" zoomScalePageLayoutView="70" workbookViewId="0">
      <selection activeCell="S3" sqref="S3:W3"/>
    </sheetView>
  </sheetViews>
  <sheetFormatPr defaultColWidth="3.6640625" defaultRowHeight="17.100000000000001" customHeight="1" x14ac:dyDescent="0.25"/>
  <cols>
    <col min="12" max="12" width="5.33203125" customWidth="1"/>
    <col min="13" max="13" width="4" customWidth="1"/>
    <col min="14" max="14" width="5.33203125" customWidth="1"/>
    <col min="25" max="25" width="6.6640625" bestFit="1" customWidth="1"/>
    <col min="35" max="35" width="4.6640625" customWidth="1"/>
    <col min="38" max="38" width="4" customWidth="1"/>
  </cols>
  <sheetData>
    <row r="1" spans="1:38" ht="27" customHeight="1" thickBot="1" x14ac:dyDescent="0.55000000000000004">
      <c r="A1" s="601"/>
      <c r="B1" s="602"/>
      <c r="C1" s="602"/>
      <c r="D1" s="602"/>
      <c r="E1" s="602"/>
      <c r="F1" s="602"/>
      <c r="G1" s="602"/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Z1" s="602"/>
      <c r="AA1" s="602"/>
      <c r="AB1" s="602"/>
      <c r="AC1" s="602"/>
      <c r="AD1" s="602"/>
      <c r="AE1" s="602"/>
      <c r="AF1" s="602"/>
      <c r="AG1" s="602"/>
      <c r="AH1" s="602"/>
      <c r="AI1" s="602"/>
      <c r="AJ1" s="602"/>
      <c r="AK1" s="602"/>
      <c r="AL1" s="602"/>
    </row>
    <row r="2" spans="1:38" ht="17.100000000000001" customHeight="1" thickBot="1" x14ac:dyDescent="0.3">
      <c r="A2" s="492" t="str">
        <f>IF(Sprache="English","machine data",IF(Sprache="Deutsch","Maschinendaten",""))</f>
        <v>Maschinendaten</v>
      </c>
      <c r="B2" s="473"/>
      <c r="C2" s="473"/>
      <c r="D2" s="473"/>
      <c r="E2" s="473"/>
      <c r="F2" s="473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35"/>
    </row>
    <row r="3" spans="1:38" ht="17.100000000000001" customHeight="1" thickBot="1" x14ac:dyDescent="0.3">
      <c r="A3" s="621" t="str">
        <f>IF(Sprache="English","nozzle Ø / length",IF(Sprache="Deutsch","Düsen Ø/Länge",""))</f>
        <v>Düsen Ø/Länge</v>
      </c>
      <c r="B3" s="594"/>
      <c r="C3" s="594"/>
      <c r="D3" s="594"/>
      <c r="E3" s="595"/>
      <c r="F3" s="178" t="s">
        <v>78</v>
      </c>
      <c r="G3" s="573"/>
      <c r="H3" s="574"/>
      <c r="I3" s="417"/>
      <c r="J3" s="418"/>
      <c r="K3" s="419"/>
      <c r="L3" s="44"/>
      <c r="O3" s="428" t="str">
        <f>IF(Sprache="English","barrel",IF(Sprache="Deutsch","Aggregat",""))</f>
        <v>Aggregat</v>
      </c>
      <c r="P3" s="428"/>
      <c r="Q3" s="428"/>
      <c r="R3" s="231"/>
      <c r="S3" s="434"/>
      <c r="T3" s="435"/>
      <c r="U3" s="435"/>
      <c r="V3" s="435"/>
      <c r="W3" s="436"/>
      <c r="Y3" s="44"/>
      <c r="Z3" s="44"/>
      <c r="AL3" s="136"/>
    </row>
    <row r="4" spans="1:38" ht="17.100000000000001" customHeight="1" thickBot="1" x14ac:dyDescent="0.3">
      <c r="A4" s="622" t="str">
        <f>IF(Sprache="English","nozzle type",IF(Sprache="Deutsch","Düsenart",""))</f>
        <v>Düsenart</v>
      </c>
      <c r="B4" s="596"/>
      <c r="C4" s="596"/>
      <c r="D4" s="596"/>
      <c r="E4" s="597"/>
      <c r="F4" s="489"/>
      <c r="G4" s="490"/>
      <c r="H4" s="490"/>
      <c r="I4" s="490"/>
      <c r="J4" s="490"/>
      <c r="K4" s="491"/>
      <c r="L4" s="44"/>
      <c r="O4" s="420" t="str">
        <f>IF(Sprache="English","clamping force",IF(Sprache="Deutsch","Schliesskraft",""))</f>
        <v>Schliesskraft</v>
      </c>
      <c r="P4" s="420"/>
      <c r="Q4" s="420"/>
      <c r="R4" s="130"/>
      <c r="S4" s="504"/>
      <c r="T4" s="505"/>
      <c r="U4" s="505"/>
      <c r="V4" s="505"/>
      <c r="W4" s="505"/>
      <c r="Y4" s="44"/>
      <c r="Z4" s="44"/>
      <c r="AL4" s="136"/>
    </row>
    <row r="5" spans="1:38" ht="17.100000000000001" customHeight="1" x14ac:dyDescent="0.25">
      <c r="A5" s="622" t="str">
        <f>IF(Sprache="English","barrel",IF(Sprache="Deutsch","Zylinder",""))</f>
        <v>Zylinder</v>
      </c>
      <c r="B5" s="596"/>
      <c r="C5" s="596"/>
      <c r="D5" s="596"/>
      <c r="E5" s="596"/>
      <c r="F5" s="623"/>
      <c r="G5" s="623"/>
      <c r="H5" s="623"/>
      <c r="I5" s="623"/>
      <c r="J5" s="623"/>
      <c r="K5" s="623"/>
      <c r="L5" s="44"/>
      <c r="Y5" s="44"/>
      <c r="Z5" s="44"/>
      <c r="AL5" s="136"/>
    </row>
    <row r="6" spans="1:38" ht="17.100000000000001" customHeight="1" thickBot="1" x14ac:dyDescent="0.3">
      <c r="A6" s="137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9"/>
    </row>
    <row r="7" spans="1:38" ht="17.100000000000001" customHeight="1" x14ac:dyDescent="0.25">
      <c r="A7" s="571" t="s">
        <v>1</v>
      </c>
      <c r="B7" s="572"/>
      <c r="C7" s="44"/>
      <c r="D7" s="44"/>
      <c r="E7" s="44"/>
      <c r="F7" s="44"/>
      <c r="G7" s="44"/>
      <c r="H7" s="44"/>
      <c r="I7" s="44"/>
      <c r="J7" s="44"/>
      <c r="K7" s="44"/>
      <c r="L7" s="44"/>
      <c r="O7" s="473" t="str">
        <f>IF(Sprache="English","color",IF(Sprache="Deutsch","Farbe",""))</f>
        <v>Farbe</v>
      </c>
      <c r="P7" s="473"/>
      <c r="Q7" s="44"/>
      <c r="R7" s="44"/>
      <c r="S7" s="44"/>
      <c r="T7" s="44"/>
      <c r="U7" s="44"/>
      <c r="V7" s="44"/>
      <c r="W7" s="44"/>
      <c r="Y7" s="473" t="str">
        <f>IF(Sprache="English","part data",IF(Sprache="Deutsch","Teiledaten",""))</f>
        <v>Teiledaten</v>
      </c>
      <c r="Z7" s="473"/>
      <c r="AA7" s="473"/>
      <c r="AB7" s="234"/>
      <c r="AC7" s="234"/>
      <c r="AD7" s="234"/>
      <c r="AE7" s="234"/>
      <c r="AF7" s="424" t="str">
        <f>IF(Sprache="English","actual value",IF(Sprache="Deutsch","IST Werte",""))</f>
        <v>IST Werte</v>
      </c>
      <c r="AG7" s="424"/>
      <c r="AH7" s="424"/>
      <c r="AI7" s="608" t="str">
        <f>IF(Sprache="English","process range",IF(Sprache="Deutsch","Prozessfenster",""))</f>
        <v>Prozessfenster</v>
      </c>
      <c r="AJ7" s="608"/>
      <c r="AK7" s="608"/>
      <c r="AL7" s="136"/>
    </row>
    <row r="8" spans="1:38" ht="17.100000000000001" customHeight="1" x14ac:dyDescent="0.25">
      <c r="A8" s="533" t="str">
        <f>IF(Sprache="English","description",IF(Sprache="Deutsch","Bezeichnung",""))</f>
        <v>Bezeichnung</v>
      </c>
      <c r="B8" s="462"/>
      <c r="C8" s="462"/>
      <c r="D8" s="462"/>
      <c r="E8" s="142"/>
      <c r="F8" s="143"/>
      <c r="G8" s="514"/>
      <c r="H8" s="503"/>
      <c r="I8" s="503"/>
      <c r="J8" s="503"/>
      <c r="K8" s="515"/>
      <c r="L8" s="44"/>
      <c r="O8" s="428" t="str">
        <f>IF(Sprache="English","color",IF(Sprache="Deutsch","Farbe",""))</f>
        <v>Farbe</v>
      </c>
      <c r="P8" s="428"/>
      <c r="Q8" s="507"/>
      <c r="R8" s="514"/>
      <c r="S8" s="503"/>
      <c r="T8" s="503"/>
      <c r="U8" s="503"/>
      <c r="V8" s="515"/>
      <c r="W8" s="44"/>
      <c r="Y8" s="428" t="str">
        <f>IF(Sprache="English","change over weight/shot",IF(Sprache="Deutsch","Umschaltgewicht/Schuss",""))</f>
        <v>Umschaltgewicht/Schuss</v>
      </c>
      <c r="Z8" s="428"/>
      <c r="AA8" s="428"/>
      <c r="AB8" s="428"/>
      <c r="AC8" s="428"/>
      <c r="AD8" s="428"/>
      <c r="AE8" s="144"/>
      <c r="AF8" s="603"/>
      <c r="AG8" s="503"/>
      <c r="AH8" s="503"/>
      <c r="AI8" s="237" t="str">
        <f>IF(AF8&lt;&gt;"",AF8*0.95,"")</f>
        <v/>
      </c>
      <c r="AJ8" s="599" t="str">
        <f>IF(AF8&lt;&gt;"",AF8*1.05,"")</f>
        <v/>
      </c>
      <c r="AK8" s="599"/>
      <c r="AL8" s="136"/>
    </row>
    <row r="9" spans="1:38" ht="17.100000000000001" customHeight="1" x14ac:dyDescent="0.25">
      <c r="A9" s="521" t="s">
        <v>114</v>
      </c>
      <c r="B9" s="420"/>
      <c r="C9" s="130"/>
      <c r="D9" s="130"/>
      <c r="E9" s="130"/>
      <c r="F9" s="145"/>
      <c r="G9" s="514"/>
      <c r="H9" s="503"/>
      <c r="I9" s="503"/>
      <c r="J9" s="503"/>
      <c r="K9" s="515"/>
      <c r="L9" s="44"/>
      <c r="O9" s="428" t="s">
        <v>114</v>
      </c>
      <c r="P9" s="428"/>
      <c r="Q9" s="507"/>
      <c r="R9" s="494"/>
      <c r="S9" s="495"/>
      <c r="T9" s="495"/>
      <c r="U9" s="495"/>
      <c r="V9" s="496"/>
      <c r="W9" s="44"/>
      <c r="Y9" s="482" t="str">
        <f>IF(Sprache="English","shot weight",IF(Sprache="Deutsch","Schussgewicht",""))</f>
        <v>Schussgewicht</v>
      </c>
      <c r="Z9" s="482"/>
      <c r="AA9" s="482"/>
      <c r="AB9" s="482"/>
      <c r="AC9" s="232"/>
      <c r="AD9" s="232"/>
      <c r="AE9" s="146"/>
      <c r="AF9" s="603"/>
      <c r="AG9" s="503"/>
      <c r="AH9" s="503"/>
      <c r="AI9" s="237" t="str">
        <f t="shared" ref="AI9:AI11" si="0">IF(AF9&lt;&gt;"",AF9*0.95,"")</f>
        <v/>
      </c>
      <c r="AJ9" s="599" t="str">
        <f t="shared" ref="AJ9:AJ11" si="1">IF(AF9&lt;&gt;"",AF9*1.05,"")</f>
        <v/>
      </c>
      <c r="AK9" s="599"/>
      <c r="AL9" s="136"/>
    </row>
    <row r="10" spans="1:38" ht="17.100000000000001" customHeight="1" thickBot="1" x14ac:dyDescent="0.3">
      <c r="A10" s="521" t="str">
        <f>IF(Sprache="English","recycling",IF(Sprache="Deutsch","Regeneratanteil",""))</f>
        <v>Regeneratanteil</v>
      </c>
      <c r="B10" s="420"/>
      <c r="C10" s="420"/>
      <c r="D10" s="420"/>
      <c r="E10" s="130"/>
      <c r="F10" s="145"/>
      <c r="G10" s="508"/>
      <c r="H10" s="509"/>
      <c r="I10" s="509"/>
      <c r="J10" s="509"/>
      <c r="K10" s="510"/>
      <c r="L10" s="44"/>
      <c r="O10" s="482" t="str">
        <f>IF(Sprache="English","amount",IF(Sprache="Deutsch","Zugabe",""))</f>
        <v>Zugabe</v>
      </c>
      <c r="P10" s="482"/>
      <c r="Q10" s="482"/>
      <c r="R10" s="616"/>
      <c r="S10" s="617"/>
      <c r="T10" s="617"/>
      <c r="U10" s="617"/>
      <c r="V10" s="618"/>
      <c r="W10" s="151"/>
      <c r="Y10" s="482" t="str">
        <f>IF(Sprache="English","sprue weight",IF(Sprache="Deutsch","Angussgewicht",""))</f>
        <v>Angussgewicht</v>
      </c>
      <c r="Z10" s="482"/>
      <c r="AA10" s="482"/>
      <c r="AB10" s="482"/>
      <c r="AC10" s="232"/>
      <c r="AD10" s="232"/>
      <c r="AE10" s="146"/>
      <c r="AF10" s="603"/>
      <c r="AG10" s="503"/>
      <c r="AH10" s="503"/>
      <c r="AI10" s="237" t="str">
        <f t="shared" si="0"/>
        <v/>
      </c>
      <c r="AJ10" s="599" t="str">
        <f t="shared" si="1"/>
        <v/>
      </c>
      <c r="AK10" s="599"/>
      <c r="AL10" s="136"/>
    </row>
    <row r="11" spans="1:38" ht="17.100000000000001" customHeight="1" thickBot="1" x14ac:dyDescent="0.3">
      <c r="A11" s="539" t="str">
        <f>IF(Sprache="English","drying °C/h",IF(Sprache="Deutsch","Vortrocknung °C/h",""))</f>
        <v>Vortrocknung °C/h</v>
      </c>
      <c r="B11" s="482"/>
      <c r="C11" s="482"/>
      <c r="D11" s="482"/>
      <c r="E11" s="482"/>
      <c r="F11" s="143"/>
      <c r="G11" s="619"/>
      <c r="H11" s="620"/>
      <c r="I11" s="553"/>
      <c r="J11" s="553"/>
      <c r="K11" s="554"/>
      <c r="L11" s="44"/>
      <c r="O11" s="482" t="str">
        <f>IF(Sprache="English","coloring device",IF(Sprache="Deutsch","Farbdosiergerät",""))</f>
        <v>Farbdosiergerät</v>
      </c>
      <c r="P11" s="482"/>
      <c r="Q11" s="497"/>
      <c r="R11" s="434"/>
      <c r="S11" s="435"/>
      <c r="T11" s="435"/>
      <c r="U11" s="435"/>
      <c r="V11" s="436"/>
      <c r="W11" s="44"/>
      <c r="Y11" s="506" t="str">
        <f>IF(Sprache="English","part weight (no sprue)",IF(Sprache="Deutsch","Teilgewicht ohne Anguss",""))</f>
        <v>Teilgewicht ohne Anguss</v>
      </c>
      <c r="Z11" s="506"/>
      <c r="AA11" s="506"/>
      <c r="AB11" s="506"/>
      <c r="AC11" s="506"/>
      <c r="AD11" s="506"/>
      <c r="AE11" s="611"/>
      <c r="AF11" s="612" t="str">
        <f>IF(AF9&lt;&gt;"",AF9-AF10,"")</f>
        <v/>
      </c>
      <c r="AG11" s="612"/>
      <c r="AH11" s="612"/>
      <c r="AI11" s="237" t="str">
        <f t="shared" si="0"/>
        <v/>
      </c>
      <c r="AJ11" s="599" t="str">
        <f t="shared" si="1"/>
        <v/>
      </c>
      <c r="AK11" s="599"/>
      <c r="AL11" s="136"/>
    </row>
    <row r="12" spans="1:38" ht="17.100000000000001" customHeight="1" thickBot="1" x14ac:dyDescent="0.3">
      <c r="A12" s="147"/>
      <c r="B12" s="148"/>
      <c r="C12" s="148"/>
      <c r="D12" s="148"/>
      <c r="E12" s="148"/>
      <c r="F12" s="148"/>
      <c r="G12" s="148"/>
      <c r="H12" s="44"/>
      <c r="I12" s="44"/>
      <c r="J12" s="44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38"/>
      <c r="AF12" s="138"/>
      <c r="AG12" s="138"/>
      <c r="AH12" s="138"/>
      <c r="AI12" s="138"/>
      <c r="AJ12" s="138"/>
      <c r="AK12" s="138"/>
      <c r="AL12" s="139"/>
    </row>
    <row r="13" spans="1:38" ht="17.100000000000001" customHeight="1" thickBot="1" x14ac:dyDescent="0.3">
      <c r="A13" s="492" t="str">
        <f>IF(Sprache="English","parameter",IF(Sprache="Deutsch","Einstellwerte",""))</f>
        <v>Einstellwerte</v>
      </c>
      <c r="B13" s="493"/>
      <c r="C13" s="493"/>
      <c r="D13" s="493"/>
      <c r="E13" s="493"/>
      <c r="F13" s="127"/>
      <c r="G13" s="127"/>
      <c r="H13" s="127"/>
      <c r="I13" s="127"/>
      <c r="J13" s="127"/>
      <c r="O13" s="473" t="s">
        <v>132</v>
      </c>
      <c r="P13" s="473"/>
      <c r="Q13" s="473"/>
      <c r="Z13" s="44"/>
      <c r="AC13" s="473" t="str">
        <f>IF(Sprache="English","injection profile",IF(Sprache="Deutsch","Einpritzprofil",""))</f>
        <v>Einpritzprofil</v>
      </c>
      <c r="AD13" s="473"/>
      <c r="AE13" s="473"/>
      <c r="AF13" s="473"/>
      <c r="AG13" s="473"/>
      <c r="AL13" s="136"/>
    </row>
    <row r="14" spans="1:38" ht="17.100000000000001" customHeight="1" thickBot="1" x14ac:dyDescent="0.3">
      <c r="A14" s="533" t="str">
        <f>IF(Sprache="English","max. injection pressure set",IF(Sprache="Deutsch","Spritzdruckbegrenzung",""))</f>
        <v>Spritzdruckbegrenzung</v>
      </c>
      <c r="B14" s="462"/>
      <c r="C14" s="462"/>
      <c r="D14" s="462"/>
      <c r="E14" s="462"/>
      <c r="F14" s="462"/>
      <c r="G14" s="542"/>
      <c r="H14" s="543"/>
      <c r="I14" s="503"/>
      <c r="J14" s="515"/>
      <c r="R14" s="434"/>
      <c r="S14" s="435"/>
      <c r="T14" s="436"/>
      <c r="U14" s="613" t="str">
        <f>IF(mmorccm="mm","mm",IF(mmorccm="ccm","ccm",""))</f>
        <v>ccm</v>
      </c>
      <c r="V14" s="614"/>
      <c r="W14" s="615"/>
      <c r="AL14" s="136"/>
    </row>
    <row r="15" spans="1:38" ht="17.100000000000001" customHeight="1" thickBot="1" x14ac:dyDescent="0.3">
      <c r="A15" s="521" t="str">
        <f>IF(Sprache="English","change over point",IF(Sprache="Deutsch","Umschaltpunkt",""))</f>
        <v>Umschaltpunkt</v>
      </c>
      <c r="B15" s="420"/>
      <c r="C15" s="420"/>
      <c r="D15" s="420"/>
      <c r="E15" s="420"/>
      <c r="F15" s="532"/>
      <c r="G15" s="604"/>
      <c r="H15" s="605"/>
      <c r="I15" s="605"/>
      <c r="J15" s="254" t="str">
        <f>IF(mmorccm="mm","mm",IF(mmorccm="ccm","ccm",""))</f>
        <v>ccm</v>
      </c>
      <c r="O15" s="142" t="s">
        <v>51</v>
      </c>
      <c r="P15" s="142"/>
      <c r="Q15" s="149"/>
      <c r="R15" s="528"/>
      <c r="S15" s="528"/>
      <c r="T15" s="528"/>
      <c r="U15" s="525"/>
      <c r="V15" s="526"/>
      <c r="W15" s="527"/>
      <c r="X15" s="444"/>
      <c r="Y15" s="445"/>
      <c r="AF15" s="434"/>
      <c r="AG15" s="435"/>
      <c r="AH15" s="436"/>
      <c r="AI15" s="441" t="str">
        <f>IF(mmorccm="mm","mm",IF(mmorccm="ccm","ccm",""))</f>
        <v>ccm</v>
      </c>
      <c r="AJ15" s="442"/>
      <c r="AK15" s="443"/>
      <c r="AL15" s="136"/>
    </row>
    <row r="16" spans="1:38" ht="17.100000000000001" customHeight="1" x14ac:dyDescent="0.25">
      <c r="A16" s="521" t="str">
        <f>IF(Sprache="English","metering stroke",IF(Sprache="Deutsch","Dosierweg",""))</f>
        <v>Dosierweg</v>
      </c>
      <c r="B16" s="420"/>
      <c r="C16" s="420"/>
      <c r="D16" s="420"/>
      <c r="E16" s="420"/>
      <c r="F16" s="420"/>
      <c r="G16" s="604"/>
      <c r="H16" s="605"/>
      <c r="I16" s="605"/>
      <c r="J16" s="254" t="str">
        <f>IF(mmorccm="mm","mm",IF(mmorccm="ccm","ccm",""))</f>
        <v>ccm</v>
      </c>
      <c r="O16" s="130" t="s">
        <v>52</v>
      </c>
      <c r="P16" s="130"/>
      <c r="Q16" s="150"/>
      <c r="R16" s="472"/>
      <c r="S16" s="472"/>
      <c r="T16" s="472"/>
      <c r="U16" s="471"/>
      <c r="V16" s="472"/>
      <c r="W16" s="472"/>
      <c r="X16" s="444"/>
      <c r="Y16" s="445"/>
      <c r="Z16" s="151"/>
      <c r="AC16" s="142" t="s">
        <v>2</v>
      </c>
      <c r="AD16" s="142" t="s">
        <v>41</v>
      </c>
      <c r="AE16" s="143"/>
      <c r="AF16" s="447"/>
      <c r="AG16" s="447"/>
      <c r="AH16" s="456"/>
      <c r="AI16" s="474"/>
      <c r="AJ16" s="475"/>
      <c r="AK16" s="476"/>
      <c r="AL16" s="136"/>
    </row>
    <row r="17" spans="1:38" ht="17.100000000000001" customHeight="1" x14ac:dyDescent="0.25">
      <c r="A17" s="521" t="str">
        <f>IF(Sprache="English","cooling time",IF(Sprache="Deutsch","Kühlzeit",""))</f>
        <v>Kühlzeit</v>
      </c>
      <c r="B17" s="420"/>
      <c r="C17" s="420"/>
      <c r="D17" s="420"/>
      <c r="E17" s="420"/>
      <c r="F17" s="420"/>
      <c r="G17" s="518"/>
      <c r="H17" s="519"/>
      <c r="I17" s="519"/>
      <c r="J17" s="520"/>
      <c r="O17" s="130" t="s">
        <v>53</v>
      </c>
      <c r="P17" s="130"/>
      <c r="Q17" s="150"/>
      <c r="R17" s="472"/>
      <c r="S17" s="472"/>
      <c r="T17" s="472"/>
      <c r="U17" s="471"/>
      <c r="V17" s="472"/>
      <c r="W17" s="472"/>
      <c r="X17" s="444"/>
      <c r="Y17" s="445"/>
      <c r="Z17" s="44"/>
      <c r="AC17" s="130" t="s">
        <v>3</v>
      </c>
      <c r="AD17" s="130" t="s">
        <v>42</v>
      </c>
      <c r="AE17" s="145"/>
      <c r="AF17" s="447"/>
      <c r="AG17" s="447"/>
      <c r="AH17" s="456"/>
      <c r="AI17" s="446"/>
      <c r="AJ17" s="447"/>
      <c r="AK17" s="448"/>
      <c r="AL17" s="136"/>
    </row>
    <row r="18" spans="1:38" ht="17.100000000000001" customHeight="1" x14ac:dyDescent="0.25">
      <c r="A18" s="521" t="str">
        <f>IF(Sprache="English","holding pressure time",IF(Sprache="Deutsch","Nachdruckzeit",""))</f>
        <v>Nachdruckzeit</v>
      </c>
      <c r="B18" s="420"/>
      <c r="C18" s="420"/>
      <c r="D18" s="420"/>
      <c r="E18" s="420"/>
      <c r="F18" s="420"/>
      <c r="G18" s="518"/>
      <c r="H18" s="519"/>
      <c r="I18" s="519"/>
      <c r="J18" s="520"/>
      <c r="O18" s="462" t="s">
        <v>79</v>
      </c>
      <c r="P18" s="462"/>
      <c r="Q18" s="462"/>
      <c r="R18" s="462"/>
      <c r="S18" s="462"/>
      <c r="T18" s="44"/>
      <c r="U18" s="536"/>
      <c r="V18" s="537"/>
      <c r="W18" s="538"/>
      <c r="X18" s="44"/>
      <c r="Y18" s="44"/>
      <c r="Z18" s="44"/>
      <c r="AC18" s="130" t="s">
        <v>4</v>
      </c>
      <c r="AD18" s="130" t="s">
        <v>43</v>
      </c>
      <c r="AE18" s="145"/>
      <c r="AF18" s="447"/>
      <c r="AG18" s="447"/>
      <c r="AH18" s="456"/>
      <c r="AI18" s="446"/>
      <c r="AJ18" s="447"/>
      <c r="AK18" s="448"/>
      <c r="AL18" s="136"/>
    </row>
    <row r="19" spans="1:38" ht="17.100000000000001" customHeight="1" x14ac:dyDescent="0.25">
      <c r="A19" s="534" t="str">
        <f>IF(Sprache="English","holding pressure",IF(Sprache="Deutsch","Nachdruck",""))</f>
        <v>Nachdruck</v>
      </c>
      <c r="B19" s="535"/>
      <c r="C19" s="535"/>
      <c r="D19" s="535"/>
      <c r="Z19" s="44"/>
      <c r="AC19" s="130" t="s">
        <v>5</v>
      </c>
      <c r="AD19" s="130" t="s">
        <v>44</v>
      </c>
      <c r="AE19" s="145"/>
      <c r="AF19" s="447"/>
      <c r="AG19" s="447"/>
      <c r="AH19" s="456"/>
      <c r="AI19" s="446"/>
      <c r="AJ19" s="447"/>
      <c r="AK19" s="448"/>
      <c r="AL19" s="136"/>
    </row>
    <row r="20" spans="1:38" ht="17.100000000000001" customHeight="1" x14ac:dyDescent="0.25">
      <c r="A20" s="533" t="str">
        <f>IF(Sprache="English","pressure flow",IF(Sprache="Deutsch","Nachdruckstrom",""))</f>
        <v>Nachdruckstrom</v>
      </c>
      <c r="B20" s="462"/>
      <c r="C20" s="462"/>
      <c r="D20" s="462"/>
      <c r="E20" s="142"/>
      <c r="F20" s="143"/>
      <c r="G20" s="624"/>
      <c r="H20" s="610"/>
      <c r="I20" s="610"/>
      <c r="J20" s="523" t="str">
        <f>IF(mmorccm="mm","mm/s",IF(mmorccm="ccm","ccm/s",""))</f>
        <v>ccm/s</v>
      </c>
      <c r="K20" s="524"/>
      <c r="Z20" s="44"/>
      <c r="AC20" s="130" t="s">
        <v>6</v>
      </c>
      <c r="AD20" s="130" t="s">
        <v>45</v>
      </c>
      <c r="AE20" s="145"/>
      <c r="AF20" s="447"/>
      <c r="AG20" s="447"/>
      <c r="AH20" s="456"/>
      <c r="AI20" s="446"/>
      <c r="AJ20" s="447"/>
      <c r="AK20" s="448"/>
      <c r="AL20" s="136"/>
    </row>
    <row r="21" spans="1:38" ht="17.100000000000001" customHeight="1" x14ac:dyDescent="0.25">
      <c r="A21" s="152" t="str">
        <f>IF(Sprache="English","P1 / time 1",IF(Sprache="Deutsch","P1 / Zeit 1",""))</f>
        <v>P1 / Zeit 1</v>
      </c>
      <c r="B21" s="130"/>
      <c r="C21" s="130"/>
      <c r="D21" s="130"/>
      <c r="E21" s="130"/>
      <c r="F21" s="145"/>
      <c r="G21" s="542"/>
      <c r="H21" s="543"/>
      <c r="I21" s="543"/>
      <c r="J21" s="545"/>
      <c r="K21" s="546"/>
      <c r="N21" s="44"/>
      <c r="AC21" s="130" t="s">
        <v>7</v>
      </c>
      <c r="AD21" s="130" t="s">
        <v>46</v>
      </c>
      <c r="AE21" s="145"/>
      <c r="AF21" s="447"/>
      <c r="AG21" s="447"/>
      <c r="AH21" s="456"/>
      <c r="AI21" s="446"/>
      <c r="AJ21" s="447"/>
      <c r="AK21" s="448"/>
      <c r="AL21" s="136"/>
    </row>
    <row r="22" spans="1:38" ht="17.100000000000001" customHeight="1" thickBot="1" x14ac:dyDescent="0.3">
      <c r="A22" s="152" t="str">
        <f>IF(Sprache="English","P2 / time 2",IF(Sprache="Deutsch","P2 / Zeit 2",""))</f>
        <v>P2 / Zeit 2</v>
      </c>
      <c r="B22" s="130"/>
      <c r="C22" s="130"/>
      <c r="D22" s="130"/>
      <c r="E22" s="130"/>
      <c r="F22" s="145"/>
      <c r="G22" s="542"/>
      <c r="H22" s="543"/>
      <c r="I22" s="543"/>
      <c r="J22" s="540"/>
      <c r="K22" s="541"/>
      <c r="N22" s="44"/>
      <c r="O22" s="153"/>
      <c r="P22" s="44"/>
      <c r="Q22" s="44"/>
      <c r="R22" s="44"/>
      <c r="S22" s="44"/>
      <c r="T22" s="44"/>
      <c r="U22" s="44"/>
      <c r="V22" s="44"/>
      <c r="W22" s="432" t="str">
        <f>IF(Sprache="English","before",IF(Sprache="Deutsch","vor",""))</f>
        <v>vor</v>
      </c>
      <c r="X22" s="433"/>
      <c r="Y22" s="253"/>
      <c r="Z22" s="255" t="str">
        <f>IF(mmorccm="mm","mm",IF(mmorccm="ccm","ccm",""))</f>
        <v>ccm</v>
      </c>
      <c r="AC22" s="130" t="s">
        <v>8</v>
      </c>
      <c r="AD22" s="130" t="s">
        <v>47</v>
      </c>
      <c r="AE22" s="145"/>
      <c r="AF22" s="447"/>
      <c r="AG22" s="447"/>
      <c r="AH22" s="456"/>
      <c r="AI22" s="446"/>
      <c r="AJ22" s="447"/>
      <c r="AK22" s="448"/>
      <c r="AL22" s="136"/>
    </row>
    <row r="23" spans="1:38" ht="17.100000000000001" customHeight="1" thickBot="1" x14ac:dyDescent="0.3">
      <c r="A23" s="152" t="str">
        <f>IF(Sprache="English","P3 / time 3",IF(Sprache="Deutsch","P3 / Zeit 3",""))</f>
        <v>P3 / Zeit 3</v>
      </c>
      <c r="B23" s="130"/>
      <c r="C23" s="130"/>
      <c r="D23" s="130"/>
      <c r="E23" s="130"/>
      <c r="F23" s="145"/>
      <c r="G23" s="542"/>
      <c r="H23" s="543"/>
      <c r="I23" s="544"/>
      <c r="J23" s="540"/>
      <c r="K23" s="541"/>
      <c r="N23" s="44"/>
      <c r="O23" s="428" t="str">
        <f>IF(Sprache="English","decompression",IF(Sprache="Deutsch","Dekompression",""))</f>
        <v>Dekompression</v>
      </c>
      <c r="P23" s="428"/>
      <c r="Q23" s="428"/>
      <c r="R23" s="428"/>
      <c r="S23" s="154"/>
      <c r="T23" s="434"/>
      <c r="U23" s="435"/>
      <c r="V23" s="436"/>
      <c r="W23" s="477" t="str">
        <f>IF(Sprache="English","after",IF(Sprache="Deutsch","nach",""))</f>
        <v>nach</v>
      </c>
      <c r="X23" s="478"/>
      <c r="Y23" s="251"/>
      <c r="Z23" s="256" t="str">
        <f>IF(mmorccm="mm","mm",IF(mmorccm="ccm","ccm",""))</f>
        <v>ccm</v>
      </c>
      <c r="AC23" s="130" t="s">
        <v>9</v>
      </c>
      <c r="AD23" s="130" t="s">
        <v>48</v>
      </c>
      <c r="AE23" s="145"/>
      <c r="AF23" s="447"/>
      <c r="AG23" s="447"/>
      <c r="AH23" s="456"/>
      <c r="AI23" s="446"/>
      <c r="AJ23" s="447"/>
      <c r="AK23" s="448"/>
      <c r="AL23" s="136"/>
    </row>
    <row r="24" spans="1:38" ht="17.100000000000001" customHeight="1" thickBot="1" x14ac:dyDescent="0.3">
      <c r="A24" s="152" t="str">
        <f>IF(Sprache="English","P4 / time 4",IF(Sprache="Deutsch","P4 / Zeit 4",""))</f>
        <v>P4 / Zeit 4</v>
      </c>
      <c r="B24" s="130"/>
      <c r="C24" s="130"/>
      <c r="D24" s="130"/>
      <c r="E24" s="130"/>
      <c r="F24" s="145"/>
      <c r="G24" s="542"/>
      <c r="H24" s="543"/>
      <c r="I24" s="544"/>
      <c r="J24" s="540"/>
      <c r="K24" s="541"/>
      <c r="N24" s="44"/>
      <c r="O24" s="58"/>
      <c r="P24" s="58"/>
      <c r="Q24" s="58"/>
      <c r="R24" s="58"/>
      <c r="W24" s="155"/>
      <c r="X24" s="155"/>
      <c r="AC24" s="130" t="s">
        <v>10</v>
      </c>
      <c r="AD24" s="130" t="s">
        <v>49</v>
      </c>
      <c r="AE24" s="145"/>
      <c r="AF24" s="447"/>
      <c r="AG24" s="447"/>
      <c r="AH24" s="456"/>
      <c r="AI24" s="446"/>
      <c r="AJ24" s="447"/>
      <c r="AK24" s="448"/>
      <c r="AL24" s="136"/>
    </row>
    <row r="25" spans="1:38" ht="17.100000000000001" customHeight="1" thickBot="1" x14ac:dyDescent="0.3">
      <c r="A25" s="152" t="str">
        <f>IF(Sprache="English","P5 / time 5",IF(Sprache="Deutsch","P5 / Zeit 5",""))</f>
        <v>P5 / Zeit 5</v>
      </c>
      <c r="B25" s="130"/>
      <c r="C25" s="130"/>
      <c r="D25" s="130"/>
      <c r="E25" s="130"/>
      <c r="F25" s="145"/>
      <c r="G25" s="542"/>
      <c r="H25" s="543"/>
      <c r="I25" s="544"/>
      <c r="J25" s="540"/>
      <c r="K25" s="541"/>
      <c r="N25" s="44"/>
      <c r="O25" s="428" t="str">
        <f>IF(Sprache="English","barrel",IF(Sprache="Deutsch","Aggregat",""))</f>
        <v>Aggregat</v>
      </c>
      <c r="P25" s="428"/>
      <c r="Q25" s="428"/>
      <c r="R25" s="156"/>
      <c r="S25" s="154"/>
      <c r="T25" s="434"/>
      <c r="U25" s="435"/>
      <c r="V25" s="436"/>
      <c r="W25" s="467"/>
      <c r="X25" s="468"/>
      <c r="AC25" s="130" t="s">
        <v>11</v>
      </c>
      <c r="AD25" s="130" t="s">
        <v>50</v>
      </c>
      <c r="AE25" s="145"/>
      <c r="AF25" s="447"/>
      <c r="AG25" s="447"/>
      <c r="AH25" s="456"/>
      <c r="AI25" s="446"/>
      <c r="AJ25" s="447"/>
      <c r="AK25" s="448"/>
      <c r="AL25" s="136"/>
    </row>
    <row r="26" spans="1:38" ht="17.100000000000001" customHeight="1" x14ac:dyDescent="0.25">
      <c r="A26" s="152" t="str">
        <f>IF(Sprache="English","P6 / time 6",IF(Sprache="Deutsch","P6 / Zeit 6",""))</f>
        <v>P6 / Zeit 6</v>
      </c>
      <c r="B26" s="130"/>
      <c r="C26" s="130"/>
      <c r="D26" s="130"/>
      <c r="E26" s="130"/>
      <c r="F26" s="145"/>
      <c r="G26" s="542"/>
      <c r="H26" s="543"/>
      <c r="I26" s="544"/>
      <c r="J26" s="540"/>
      <c r="K26" s="541"/>
      <c r="N26" s="44"/>
      <c r="AA26" s="158"/>
      <c r="AK26" s="158"/>
      <c r="AL26" s="136"/>
    </row>
    <row r="27" spans="1:38" ht="17.100000000000001" customHeight="1" x14ac:dyDescent="0.25">
      <c r="A27" s="152" t="str">
        <f>IF(Sprache="English","P7 / time 7",IF(Sprache="Deutsch","P7 / Zeit 7",""))</f>
        <v>P7 / Zeit 7</v>
      </c>
      <c r="B27" s="130"/>
      <c r="C27" s="130"/>
      <c r="D27" s="130"/>
      <c r="E27" s="130"/>
      <c r="F27" s="145"/>
      <c r="G27" s="542"/>
      <c r="H27" s="543"/>
      <c r="I27" s="544"/>
      <c r="J27" s="540"/>
      <c r="K27" s="541"/>
      <c r="N27" s="44"/>
      <c r="AA27" s="158"/>
      <c r="AK27" s="158"/>
      <c r="AL27" s="136"/>
    </row>
    <row r="28" spans="1:38" ht="17.100000000000001" customHeight="1" thickBot="1" x14ac:dyDescent="0.3">
      <c r="A28" s="157"/>
      <c r="K28" s="159"/>
      <c r="L28" s="159"/>
      <c r="M28" s="159"/>
      <c r="N28" s="138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AK28" s="158"/>
      <c r="AL28" s="160"/>
    </row>
    <row r="29" spans="1:38" ht="17.100000000000001" customHeight="1" x14ac:dyDescent="0.25">
      <c r="A29" s="492" t="str">
        <f>IF(Sprache="English","*actual value",IF(Sprache="Deutsch","*IST Werte",""))</f>
        <v>*IST Werte</v>
      </c>
      <c r="B29" s="493"/>
      <c r="C29" s="493"/>
      <c r="D29" s="493"/>
      <c r="E29" s="161"/>
      <c r="F29" s="161"/>
      <c r="G29" s="161"/>
      <c r="H29" s="161"/>
      <c r="I29" s="161"/>
      <c r="J29" s="161"/>
      <c r="L29" s="607" t="str">
        <f>IF(Sprache="English","process range",IF(Sprache="Deutsch","Prozessfenster",""))</f>
        <v>Prozessfenster</v>
      </c>
      <c r="M29" s="608"/>
      <c r="N29" s="608"/>
      <c r="Y29" s="127"/>
      <c r="Z29" s="127"/>
      <c r="AA29" s="127"/>
      <c r="AB29" s="127"/>
      <c r="AC29" s="127"/>
      <c r="AD29" s="127"/>
      <c r="AE29" s="127"/>
      <c r="AF29" s="127"/>
      <c r="AG29" s="127"/>
      <c r="AH29" s="127"/>
      <c r="AI29" s="608" t="str">
        <f>IF(Sprache="English","process range",IF(Sprache="Deutsch","Prozessfenster",""))</f>
        <v>Prozessfenster</v>
      </c>
      <c r="AJ29" s="608"/>
      <c r="AK29" s="608"/>
      <c r="AL29" s="135"/>
    </row>
    <row r="30" spans="1:38" ht="17.100000000000001" customHeight="1" x14ac:dyDescent="0.25">
      <c r="A30" s="157"/>
      <c r="B30" s="462" t="str">
        <f>IF(Sprache="English","*melt cushion",IF(Sprache="Deutsch","*Massepolster",""))</f>
        <v>*Massepolster</v>
      </c>
      <c r="C30" s="462"/>
      <c r="D30" s="462"/>
      <c r="E30" s="462"/>
      <c r="F30" s="462"/>
      <c r="G30" s="550"/>
      <c r="H30" s="609"/>
      <c r="I30" s="610"/>
      <c r="J30" s="610"/>
      <c r="K30" s="257" t="str">
        <f>IF(mmorccm="mm","mm",IF(mmorccm="ccm","ccm",""))</f>
        <v>ccm</v>
      </c>
      <c r="L30" s="237" t="str">
        <f>IF(H30&lt;&gt;"",H30*0.95,"")</f>
        <v/>
      </c>
      <c r="M30" s="599" t="str">
        <f>IF(H30&lt;&gt;"",H30*1.05,"")</f>
        <v/>
      </c>
      <c r="N30" s="599"/>
      <c r="Y30" s="462" t="str">
        <f>IF(Sprache="English","*injection time",IF(Sprache="Deutsch","*Einspritzzeit",""))</f>
        <v>*Einspritzzeit</v>
      </c>
      <c r="Z30" s="462"/>
      <c r="AA30" s="462"/>
      <c r="AB30" s="462"/>
      <c r="AC30" s="462"/>
      <c r="AD30" s="550"/>
      <c r="AE30" s="460"/>
      <c r="AF30" s="460"/>
      <c r="AG30" s="460"/>
      <c r="AH30" s="503"/>
      <c r="AI30" s="239" t="str">
        <f>IF(AE30&lt;&gt;"",AE30*0.95,"")</f>
        <v/>
      </c>
      <c r="AJ30" s="599" t="str">
        <f>IF(AE30&lt;&gt;"",AE30*1.05,"")</f>
        <v/>
      </c>
      <c r="AK30" s="599"/>
      <c r="AL30" s="136"/>
    </row>
    <row r="31" spans="1:38" ht="17.100000000000001" customHeight="1" x14ac:dyDescent="0.25">
      <c r="A31" s="157"/>
      <c r="B31" s="420" t="str">
        <f>IF(Sprache="English","*injection pressure max.",IF(Sprache="Deutsch","*max. Einspritzdruck",""))</f>
        <v>*max. Einspritzdruck</v>
      </c>
      <c r="C31" s="420"/>
      <c r="D31" s="420"/>
      <c r="E31" s="420"/>
      <c r="F31" s="420"/>
      <c r="G31" s="555"/>
      <c r="H31" s="530"/>
      <c r="I31" s="530"/>
      <c r="J31" s="426"/>
      <c r="K31" s="426"/>
      <c r="L31" s="237" t="str">
        <f>IF(H31&lt;&gt;"",H31*0.85,"")</f>
        <v/>
      </c>
      <c r="M31" s="599" t="str">
        <f>IF(H31&lt;&gt;"",H31*1.15,"")</f>
        <v/>
      </c>
      <c r="N31" s="599"/>
      <c r="Y31" s="420" t="str">
        <f>IF(Sprache="English","*charging time",IF(Sprache="Deutsch","*Dosierzeit",""))</f>
        <v>*Dosierzeit</v>
      </c>
      <c r="Z31" s="420"/>
      <c r="AA31" s="420"/>
      <c r="AB31" s="420"/>
      <c r="AC31" s="420"/>
      <c r="AD31" s="555"/>
      <c r="AE31" s="455"/>
      <c r="AF31" s="455"/>
      <c r="AG31" s="426"/>
      <c r="AH31" s="426"/>
      <c r="AI31" s="239" t="str">
        <f t="shared" ref="AI31:AI32" si="2">IF(AE31&lt;&gt;"",AE31*0.95,"")</f>
        <v/>
      </c>
      <c r="AJ31" s="599" t="str">
        <f t="shared" ref="AJ31:AJ32" si="3">IF(AE31&lt;&gt;"",AE31*1.05,"")</f>
        <v/>
      </c>
      <c r="AK31" s="599"/>
      <c r="AL31" s="136"/>
    </row>
    <row r="32" spans="1:38" ht="17.100000000000001" customHeight="1" x14ac:dyDescent="0.25">
      <c r="A32" s="157"/>
      <c r="B32" s="420" t="str">
        <f>IF(Sprache="English","*change over pressure",IF(Sprache="Deutsch","*Umschaltdruck",""))</f>
        <v>*Umschaltdruck</v>
      </c>
      <c r="C32" s="420"/>
      <c r="D32" s="420"/>
      <c r="E32" s="420"/>
      <c r="F32" s="420"/>
      <c r="G32" s="555"/>
      <c r="H32" s="530"/>
      <c r="I32" s="530"/>
      <c r="J32" s="426"/>
      <c r="K32" s="426"/>
      <c r="L32" s="237" t="str">
        <f>IF(H32&lt;&gt;"",H32*0.85,"")</f>
        <v/>
      </c>
      <c r="M32" s="599" t="str">
        <f>IF(H32&lt;&gt;"",H32*1.15,"")</f>
        <v/>
      </c>
      <c r="N32" s="599"/>
      <c r="Y32" s="420" t="str">
        <f>IF(Sprache="English","*cycle time",IF(Sprache="Deutsch","*Zykluszeit",""))</f>
        <v>*Zykluszeit</v>
      </c>
      <c r="Z32" s="420"/>
      <c r="AA32" s="420"/>
      <c r="AB32" s="420"/>
      <c r="AC32" s="420"/>
      <c r="AD32" s="555"/>
      <c r="AE32" s="455"/>
      <c r="AF32" s="455"/>
      <c r="AG32" s="426"/>
      <c r="AH32" s="426"/>
      <c r="AI32" s="239" t="str">
        <f t="shared" si="2"/>
        <v/>
      </c>
      <c r="AJ32" s="599" t="str">
        <f t="shared" si="3"/>
        <v/>
      </c>
      <c r="AK32" s="599"/>
      <c r="AL32" s="136"/>
    </row>
    <row r="33" spans="1:38" ht="12.75" customHeight="1" thickBot="1" x14ac:dyDescent="0.3">
      <c r="A33" s="162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59"/>
      <c r="AC33" s="159"/>
      <c r="AD33" s="159"/>
      <c r="AE33" s="159"/>
      <c r="AF33" s="159"/>
      <c r="AG33" s="159"/>
      <c r="AH33" s="159"/>
      <c r="AI33" s="159"/>
      <c r="AJ33" s="159"/>
      <c r="AK33" s="138"/>
      <c r="AL33" s="139"/>
    </row>
    <row r="34" spans="1:38" ht="17.100000000000001" customHeight="1" x14ac:dyDescent="0.25">
      <c r="A34" s="492" t="str">
        <f>IF(Sprache="English","barrel heating [°C] +/- 30°C",IF(Sprache="Deutsch","Zylinderheizung [°C] +/- 30°C",""))</f>
        <v>Zylinderheizung [°C] +/- 30°C</v>
      </c>
      <c r="B34" s="473"/>
      <c r="C34" s="473"/>
      <c r="D34" s="473"/>
      <c r="E34" s="473"/>
      <c r="F34" s="473"/>
      <c r="G34" s="473"/>
      <c r="H34" s="233"/>
      <c r="I34" s="233"/>
      <c r="J34" s="439" t="s">
        <v>25</v>
      </c>
      <c r="K34" s="440"/>
      <c r="L34" s="439" t="s">
        <v>24</v>
      </c>
      <c r="M34" s="440"/>
      <c r="N34" s="439" t="s">
        <v>23</v>
      </c>
      <c r="O34" s="440"/>
      <c r="P34" s="439" t="s">
        <v>21</v>
      </c>
      <c r="Q34" s="440"/>
      <c r="R34" s="439" t="s">
        <v>20</v>
      </c>
      <c r="S34" s="440"/>
      <c r="T34" s="439" t="s">
        <v>19</v>
      </c>
      <c r="U34" s="440"/>
      <c r="V34" s="439" t="s">
        <v>17</v>
      </c>
      <c r="W34" s="440"/>
      <c r="X34" s="439" t="s">
        <v>18</v>
      </c>
      <c r="Y34" s="440"/>
      <c r="Z34" s="439" t="s">
        <v>13</v>
      </c>
      <c r="AA34" s="440"/>
      <c r="AB34" s="439" t="s">
        <v>14</v>
      </c>
      <c r="AC34" s="440"/>
      <c r="AD34" s="439" t="s">
        <v>15</v>
      </c>
      <c r="AE34" s="440"/>
      <c r="AF34" s="439" t="s">
        <v>16</v>
      </c>
      <c r="AG34" s="440"/>
      <c r="AH34" s="439" t="s">
        <v>12</v>
      </c>
      <c r="AI34" s="440"/>
      <c r="AJ34" s="437" t="s">
        <v>30</v>
      </c>
      <c r="AK34" s="438"/>
      <c r="AL34" s="135"/>
    </row>
    <row r="35" spans="1:38" ht="17.100000000000001" customHeight="1" x14ac:dyDescent="0.25">
      <c r="A35" s="163"/>
      <c r="B35" s="44"/>
      <c r="C35" s="44"/>
      <c r="D35" s="44"/>
      <c r="E35" s="44"/>
      <c r="F35" s="44"/>
      <c r="G35" s="44"/>
      <c r="H35" s="44"/>
      <c r="I35" s="44"/>
      <c r="J35" s="412"/>
      <c r="K35" s="413"/>
      <c r="L35" s="412"/>
      <c r="M35" s="413"/>
      <c r="N35" s="412"/>
      <c r="O35" s="413"/>
      <c r="P35" s="412"/>
      <c r="Q35" s="413"/>
      <c r="R35" s="551"/>
      <c r="S35" s="552"/>
      <c r="T35" s="412"/>
      <c r="U35" s="413"/>
      <c r="V35" s="412"/>
      <c r="W35" s="413"/>
      <c r="X35" s="412"/>
      <c r="Y35" s="413"/>
      <c r="Z35" s="412"/>
      <c r="AA35" s="413"/>
      <c r="AB35" s="412"/>
      <c r="AC35" s="413"/>
      <c r="AD35" s="412"/>
      <c r="AE35" s="413"/>
      <c r="AF35" s="412"/>
      <c r="AG35" s="413"/>
      <c r="AH35" s="412"/>
      <c r="AI35" s="413"/>
      <c r="AJ35" s="412"/>
      <c r="AK35" s="413"/>
      <c r="AL35" s="136"/>
    </row>
    <row r="36" spans="1:38" ht="17.100000000000001" customHeight="1" thickBot="1" x14ac:dyDescent="0.3">
      <c r="A36" s="137"/>
      <c r="B36" s="138"/>
      <c r="C36" s="138"/>
      <c r="D36" s="138"/>
      <c r="E36" s="138"/>
      <c r="F36" s="138"/>
      <c r="G36" s="45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4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9"/>
    </row>
    <row r="37" spans="1:38" ht="17.100000000000001" customHeight="1" thickBot="1" x14ac:dyDescent="0.3">
      <c r="A37" s="188"/>
      <c r="B37" s="600" t="str">
        <f>IF(Sprache="English","remarks",IF(Sprache="Deutsch","Bemerkungen",""))</f>
        <v>Bemerkungen</v>
      </c>
      <c r="C37" s="600"/>
      <c r="D37" s="600"/>
      <c r="E37" s="600"/>
      <c r="F37" s="161"/>
      <c r="G37" s="161"/>
      <c r="H37" s="161"/>
      <c r="I37" s="161"/>
      <c r="J37" s="161"/>
      <c r="K37" s="161"/>
      <c r="L37" s="161"/>
      <c r="M37" s="189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89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90"/>
      <c r="AJ37" s="161"/>
      <c r="AK37" s="161"/>
      <c r="AL37" s="191"/>
    </row>
    <row r="38" spans="1:38" ht="17.100000000000001" customHeight="1" x14ac:dyDescent="0.25">
      <c r="A38" s="157"/>
      <c r="B38" s="606" t="s">
        <v>144</v>
      </c>
      <c r="C38" s="562"/>
      <c r="D38" s="562"/>
      <c r="E38" s="562"/>
      <c r="F38" s="562"/>
      <c r="G38" s="562"/>
      <c r="H38" s="562"/>
      <c r="I38" s="562"/>
      <c r="J38" s="562"/>
      <c r="K38" s="562"/>
      <c r="L38" s="562"/>
      <c r="M38" s="562"/>
      <c r="N38" s="562"/>
      <c r="O38" s="562"/>
      <c r="P38" s="562"/>
      <c r="Q38" s="562"/>
      <c r="R38" s="562"/>
      <c r="S38" s="562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562"/>
      <c r="AK38" s="563"/>
      <c r="AL38" s="160"/>
    </row>
    <row r="39" spans="1:38" ht="17.100000000000001" customHeight="1" x14ac:dyDescent="0.25">
      <c r="A39" s="157"/>
      <c r="B39" s="564"/>
      <c r="C39" s="565"/>
      <c r="D39" s="565"/>
      <c r="E39" s="565"/>
      <c r="F39" s="565"/>
      <c r="G39" s="565"/>
      <c r="H39" s="565"/>
      <c r="I39" s="565"/>
      <c r="J39" s="565"/>
      <c r="K39" s="565"/>
      <c r="L39" s="565"/>
      <c r="M39" s="565"/>
      <c r="N39" s="565"/>
      <c r="O39" s="565"/>
      <c r="P39" s="565"/>
      <c r="Q39" s="565"/>
      <c r="R39" s="565"/>
      <c r="S39" s="565"/>
      <c r="T39" s="565"/>
      <c r="U39" s="565"/>
      <c r="V39" s="565"/>
      <c r="W39" s="565"/>
      <c r="X39" s="565"/>
      <c r="Y39" s="565"/>
      <c r="Z39" s="565"/>
      <c r="AA39" s="565"/>
      <c r="AB39" s="565"/>
      <c r="AC39" s="565"/>
      <c r="AD39" s="565"/>
      <c r="AE39" s="565"/>
      <c r="AF39" s="565"/>
      <c r="AG39" s="565"/>
      <c r="AH39" s="565"/>
      <c r="AI39" s="565"/>
      <c r="AJ39" s="565"/>
      <c r="AK39" s="566"/>
      <c r="AL39" s="160"/>
    </row>
    <row r="40" spans="1:38" ht="17.100000000000001" customHeight="1" x14ac:dyDescent="0.25">
      <c r="A40" s="157"/>
      <c r="B40" s="564"/>
      <c r="C40" s="565"/>
      <c r="D40" s="565"/>
      <c r="E40" s="565"/>
      <c r="F40" s="565"/>
      <c r="G40" s="565"/>
      <c r="H40" s="565"/>
      <c r="I40" s="565"/>
      <c r="J40" s="565"/>
      <c r="K40" s="565"/>
      <c r="L40" s="565"/>
      <c r="M40" s="565"/>
      <c r="N40" s="565"/>
      <c r="O40" s="565"/>
      <c r="P40" s="565"/>
      <c r="Q40" s="565"/>
      <c r="R40" s="565"/>
      <c r="S40" s="565"/>
      <c r="T40" s="565"/>
      <c r="U40" s="565"/>
      <c r="V40" s="565"/>
      <c r="W40" s="565"/>
      <c r="X40" s="565"/>
      <c r="Y40" s="565"/>
      <c r="Z40" s="565"/>
      <c r="AA40" s="565"/>
      <c r="AB40" s="565"/>
      <c r="AC40" s="565"/>
      <c r="AD40" s="565"/>
      <c r="AE40" s="565"/>
      <c r="AF40" s="565"/>
      <c r="AG40" s="565"/>
      <c r="AH40" s="565"/>
      <c r="AI40" s="565"/>
      <c r="AJ40" s="565"/>
      <c r="AK40" s="566"/>
      <c r="AL40" s="160"/>
    </row>
    <row r="41" spans="1:38" ht="17.100000000000001" customHeight="1" x14ac:dyDescent="0.25">
      <c r="A41" s="157"/>
      <c r="B41" s="564"/>
      <c r="C41" s="565"/>
      <c r="D41" s="565"/>
      <c r="E41" s="565"/>
      <c r="F41" s="565"/>
      <c r="G41" s="565"/>
      <c r="H41" s="565"/>
      <c r="I41" s="565"/>
      <c r="J41" s="565"/>
      <c r="K41" s="565"/>
      <c r="L41" s="565"/>
      <c r="M41" s="565"/>
      <c r="N41" s="565"/>
      <c r="O41" s="565"/>
      <c r="P41" s="565"/>
      <c r="Q41" s="565"/>
      <c r="R41" s="565"/>
      <c r="S41" s="565"/>
      <c r="T41" s="565"/>
      <c r="U41" s="565"/>
      <c r="V41" s="565"/>
      <c r="W41" s="565"/>
      <c r="X41" s="565"/>
      <c r="Y41" s="565"/>
      <c r="Z41" s="565"/>
      <c r="AA41" s="565"/>
      <c r="AB41" s="565"/>
      <c r="AC41" s="565"/>
      <c r="AD41" s="565"/>
      <c r="AE41" s="565"/>
      <c r="AF41" s="565"/>
      <c r="AG41" s="565"/>
      <c r="AH41" s="565"/>
      <c r="AI41" s="565"/>
      <c r="AJ41" s="565"/>
      <c r="AK41" s="566"/>
      <c r="AL41" s="160"/>
    </row>
    <row r="42" spans="1:38" ht="17.100000000000001" customHeight="1" x14ac:dyDescent="0.25">
      <c r="A42" s="157"/>
      <c r="B42" s="564"/>
      <c r="C42" s="565"/>
      <c r="D42" s="565"/>
      <c r="E42" s="565"/>
      <c r="F42" s="565"/>
      <c r="G42" s="565"/>
      <c r="H42" s="565"/>
      <c r="I42" s="565"/>
      <c r="J42" s="565"/>
      <c r="K42" s="565"/>
      <c r="L42" s="565"/>
      <c r="M42" s="565"/>
      <c r="N42" s="565"/>
      <c r="O42" s="565"/>
      <c r="P42" s="565"/>
      <c r="Q42" s="565"/>
      <c r="R42" s="565"/>
      <c r="S42" s="565"/>
      <c r="T42" s="565"/>
      <c r="U42" s="565"/>
      <c r="V42" s="565"/>
      <c r="W42" s="565"/>
      <c r="X42" s="565"/>
      <c r="Y42" s="565"/>
      <c r="Z42" s="565"/>
      <c r="AA42" s="565"/>
      <c r="AB42" s="565"/>
      <c r="AC42" s="565"/>
      <c r="AD42" s="565"/>
      <c r="AE42" s="565"/>
      <c r="AF42" s="565"/>
      <c r="AG42" s="565"/>
      <c r="AH42" s="565"/>
      <c r="AI42" s="565"/>
      <c r="AJ42" s="565"/>
      <c r="AK42" s="566"/>
      <c r="AL42" s="160"/>
    </row>
    <row r="43" spans="1:38" ht="17.100000000000001" customHeight="1" x14ac:dyDescent="0.25">
      <c r="A43" s="157"/>
      <c r="B43" s="564"/>
      <c r="C43" s="565"/>
      <c r="D43" s="565"/>
      <c r="E43" s="565"/>
      <c r="F43" s="565"/>
      <c r="G43" s="565"/>
      <c r="H43" s="565"/>
      <c r="I43" s="565"/>
      <c r="J43" s="565"/>
      <c r="K43" s="565"/>
      <c r="L43" s="565"/>
      <c r="M43" s="565"/>
      <c r="N43" s="565"/>
      <c r="O43" s="565"/>
      <c r="P43" s="565"/>
      <c r="Q43" s="565"/>
      <c r="R43" s="565"/>
      <c r="S43" s="565"/>
      <c r="T43" s="565"/>
      <c r="U43" s="565"/>
      <c r="V43" s="565"/>
      <c r="W43" s="565"/>
      <c r="X43" s="565"/>
      <c r="Y43" s="565"/>
      <c r="Z43" s="565"/>
      <c r="AA43" s="565"/>
      <c r="AB43" s="565"/>
      <c r="AC43" s="565"/>
      <c r="AD43" s="565"/>
      <c r="AE43" s="565"/>
      <c r="AF43" s="565"/>
      <c r="AG43" s="565"/>
      <c r="AH43" s="565"/>
      <c r="AI43" s="565"/>
      <c r="AJ43" s="565"/>
      <c r="AK43" s="566"/>
      <c r="AL43" s="160"/>
    </row>
    <row r="44" spans="1:38" ht="17.100000000000001" customHeight="1" x14ac:dyDescent="0.25">
      <c r="A44" s="157"/>
      <c r="B44" s="564"/>
      <c r="C44" s="565"/>
      <c r="D44" s="565"/>
      <c r="E44" s="565"/>
      <c r="F44" s="565"/>
      <c r="G44" s="565"/>
      <c r="H44" s="565"/>
      <c r="I44" s="565"/>
      <c r="J44" s="565"/>
      <c r="K44" s="565"/>
      <c r="L44" s="565"/>
      <c r="M44" s="565"/>
      <c r="N44" s="565"/>
      <c r="O44" s="565"/>
      <c r="P44" s="565"/>
      <c r="Q44" s="565"/>
      <c r="R44" s="565"/>
      <c r="S44" s="565"/>
      <c r="T44" s="565"/>
      <c r="U44" s="565"/>
      <c r="V44" s="565"/>
      <c r="W44" s="565"/>
      <c r="X44" s="565"/>
      <c r="Y44" s="565"/>
      <c r="Z44" s="565"/>
      <c r="AA44" s="565"/>
      <c r="AB44" s="565"/>
      <c r="AC44" s="565"/>
      <c r="AD44" s="565"/>
      <c r="AE44" s="565"/>
      <c r="AF44" s="565"/>
      <c r="AG44" s="565"/>
      <c r="AH44" s="565"/>
      <c r="AI44" s="565"/>
      <c r="AJ44" s="565"/>
      <c r="AK44" s="566"/>
      <c r="AL44" s="160"/>
    </row>
    <row r="45" spans="1:38" ht="17.100000000000001" customHeight="1" x14ac:dyDescent="0.25">
      <c r="A45" s="192"/>
      <c r="B45" s="564"/>
      <c r="C45" s="565"/>
      <c r="D45" s="565"/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5"/>
      <c r="P45" s="565"/>
      <c r="Q45" s="565"/>
      <c r="R45" s="565"/>
      <c r="S45" s="565"/>
      <c r="T45" s="565"/>
      <c r="U45" s="565"/>
      <c r="V45" s="565"/>
      <c r="W45" s="565"/>
      <c r="X45" s="565"/>
      <c r="Y45" s="565"/>
      <c r="Z45" s="565"/>
      <c r="AA45" s="565"/>
      <c r="AB45" s="565"/>
      <c r="AC45" s="565"/>
      <c r="AD45" s="565"/>
      <c r="AE45" s="565"/>
      <c r="AF45" s="565"/>
      <c r="AG45" s="565"/>
      <c r="AH45" s="565"/>
      <c r="AI45" s="565"/>
      <c r="AJ45" s="565"/>
      <c r="AK45" s="566"/>
      <c r="AL45" s="160"/>
    </row>
    <row r="46" spans="1:38" ht="17.100000000000001" customHeight="1" x14ac:dyDescent="0.25">
      <c r="A46" s="193"/>
      <c r="B46" s="564"/>
      <c r="C46" s="565"/>
      <c r="D46" s="565"/>
      <c r="E46" s="565"/>
      <c r="F46" s="565"/>
      <c r="G46" s="565"/>
      <c r="H46" s="565"/>
      <c r="I46" s="565"/>
      <c r="J46" s="565"/>
      <c r="K46" s="565"/>
      <c r="L46" s="565"/>
      <c r="M46" s="565"/>
      <c r="N46" s="565"/>
      <c r="O46" s="565"/>
      <c r="P46" s="565"/>
      <c r="Q46" s="565"/>
      <c r="R46" s="565"/>
      <c r="S46" s="565"/>
      <c r="T46" s="565"/>
      <c r="U46" s="565"/>
      <c r="V46" s="565"/>
      <c r="W46" s="565"/>
      <c r="X46" s="565"/>
      <c r="Y46" s="565"/>
      <c r="Z46" s="565"/>
      <c r="AA46" s="565"/>
      <c r="AB46" s="565"/>
      <c r="AC46" s="565"/>
      <c r="AD46" s="565"/>
      <c r="AE46" s="565"/>
      <c r="AF46" s="565"/>
      <c r="AG46" s="565"/>
      <c r="AH46" s="565"/>
      <c r="AI46" s="565"/>
      <c r="AJ46" s="565"/>
      <c r="AK46" s="566"/>
      <c r="AL46" s="160"/>
    </row>
    <row r="47" spans="1:38" ht="17.100000000000001" customHeight="1" x14ac:dyDescent="0.25">
      <c r="A47" s="157"/>
      <c r="B47" s="564"/>
      <c r="C47" s="565"/>
      <c r="D47" s="565"/>
      <c r="E47" s="565"/>
      <c r="F47" s="565"/>
      <c r="G47" s="565"/>
      <c r="H47" s="565"/>
      <c r="I47" s="565"/>
      <c r="J47" s="565"/>
      <c r="K47" s="565"/>
      <c r="L47" s="565"/>
      <c r="M47" s="565"/>
      <c r="N47" s="565"/>
      <c r="O47" s="565"/>
      <c r="P47" s="565"/>
      <c r="Q47" s="565"/>
      <c r="R47" s="565"/>
      <c r="S47" s="565"/>
      <c r="T47" s="565"/>
      <c r="U47" s="565"/>
      <c r="V47" s="565"/>
      <c r="W47" s="565"/>
      <c r="X47" s="565"/>
      <c r="Y47" s="565"/>
      <c r="Z47" s="565"/>
      <c r="AA47" s="565"/>
      <c r="AB47" s="565"/>
      <c r="AC47" s="565"/>
      <c r="AD47" s="565"/>
      <c r="AE47" s="565"/>
      <c r="AF47" s="565"/>
      <c r="AG47" s="565"/>
      <c r="AH47" s="565"/>
      <c r="AI47" s="565"/>
      <c r="AJ47" s="565"/>
      <c r="AK47" s="566"/>
      <c r="AL47" s="160"/>
    </row>
    <row r="48" spans="1:38" ht="17.100000000000001" customHeight="1" x14ac:dyDescent="0.25">
      <c r="A48" s="157"/>
      <c r="B48" s="564"/>
      <c r="C48" s="565"/>
      <c r="D48" s="565"/>
      <c r="E48" s="565"/>
      <c r="F48" s="565"/>
      <c r="G48" s="565"/>
      <c r="H48" s="565"/>
      <c r="I48" s="565"/>
      <c r="J48" s="565"/>
      <c r="K48" s="565"/>
      <c r="L48" s="565"/>
      <c r="M48" s="565"/>
      <c r="N48" s="565"/>
      <c r="O48" s="565"/>
      <c r="P48" s="565"/>
      <c r="Q48" s="565"/>
      <c r="R48" s="565"/>
      <c r="S48" s="565"/>
      <c r="T48" s="565"/>
      <c r="U48" s="565"/>
      <c r="V48" s="565"/>
      <c r="W48" s="565"/>
      <c r="X48" s="565"/>
      <c r="Y48" s="565"/>
      <c r="Z48" s="565"/>
      <c r="AA48" s="565"/>
      <c r="AB48" s="565"/>
      <c r="AC48" s="565"/>
      <c r="AD48" s="565"/>
      <c r="AE48" s="565"/>
      <c r="AF48" s="565"/>
      <c r="AG48" s="565"/>
      <c r="AH48" s="565"/>
      <c r="AI48" s="565"/>
      <c r="AJ48" s="565"/>
      <c r="AK48" s="566"/>
      <c r="AL48" s="160"/>
    </row>
    <row r="49" spans="1:38" ht="17.100000000000001" customHeight="1" x14ac:dyDescent="0.25">
      <c r="A49" s="157"/>
      <c r="B49" s="564"/>
      <c r="C49" s="565"/>
      <c r="D49" s="565"/>
      <c r="E49" s="565"/>
      <c r="F49" s="565"/>
      <c r="G49" s="565"/>
      <c r="H49" s="565"/>
      <c r="I49" s="565"/>
      <c r="J49" s="565"/>
      <c r="K49" s="565"/>
      <c r="L49" s="565"/>
      <c r="M49" s="565"/>
      <c r="N49" s="565"/>
      <c r="O49" s="565"/>
      <c r="P49" s="565"/>
      <c r="Q49" s="565"/>
      <c r="R49" s="565"/>
      <c r="S49" s="565"/>
      <c r="T49" s="565"/>
      <c r="U49" s="565"/>
      <c r="V49" s="565"/>
      <c r="W49" s="565"/>
      <c r="X49" s="565"/>
      <c r="Y49" s="565"/>
      <c r="Z49" s="565"/>
      <c r="AA49" s="565"/>
      <c r="AB49" s="565"/>
      <c r="AC49" s="565"/>
      <c r="AD49" s="565"/>
      <c r="AE49" s="565"/>
      <c r="AF49" s="565"/>
      <c r="AG49" s="565"/>
      <c r="AH49" s="565"/>
      <c r="AI49" s="565"/>
      <c r="AJ49" s="565"/>
      <c r="AK49" s="566"/>
      <c r="AL49" s="160"/>
    </row>
    <row r="50" spans="1:38" ht="17.100000000000001" customHeight="1" x14ac:dyDescent="0.25">
      <c r="A50" s="157"/>
      <c r="B50" s="564"/>
      <c r="C50" s="565"/>
      <c r="D50" s="565"/>
      <c r="E50" s="565"/>
      <c r="F50" s="565"/>
      <c r="G50" s="565"/>
      <c r="H50" s="565"/>
      <c r="I50" s="565"/>
      <c r="J50" s="565"/>
      <c r="K50" s="565"/>
      <c r="L50" s="565"/>
      <c r="M50" s="565"/>
      <c r="N50" s="565"/>
      <c r="O50" s="565"/>
      <c r="P50" s="565"/>
      <c r="Q50" s="565"/>
      <c r="R50" s="565"/>
      <c r="S50" s="565"/>
      <c r="T50" s="565"/>
      <c r="U50" s="565"/>
      <c r="V50" s="565"/>
      <c r="W50" s="565"/>
      <c r="X50" s="565"/>
      <c r="Y50" s="565"/>
      <c r="Z50" s="565"/>
      <c r="AA50" s="565"/>
      <c r="AB50" s="565"/>
      <c r="AC50" s="565"/>
      <c r="AD50" s="565"/>
      <c r="AE50" s="565"/>
      <c r="AF50" s="565"/>
      <c r="AG50" s="565"/>
      <c r="AH50" s="565"/>
      <c r="AI50" s="565"/>
      <c r="AJ50" s="565"/>
      <c r="AK50" s="566"/>
      <c r="AL50" s="160"/>
    </row>
    <row r="51" spans="1:38" ht="17.100000000000001" customHeight="1" x14ac:dyDescent="0.25">
      <c r="A51" s="157"/>
      <c r="B51" s="564"/>
      <c r="C51" s="565"/>
      <c r="D51" s="565"/>
      <c r="E51" s="565"/>
      <c r="F51" s="565"/>
      <c r="G51" s="565"/>
      <c r="H51" s="565"/>
      <c r="I51" s="565"/>
      <c r="J51" s="565"/>
      <c r="K51" s="565"/>
      <c r="L51" s="565"/>
      <c r="M51" s="565"/>
      <c r="N51" s="565"/>
      <c r="O51" s="565"/>
      <c r="P51" s="565"/>
      <c r="Q51" s="565"/>
      <c r="R51" s="565"/>
      <c r="S51" s="565"/>
      <c r="T51" s="565"/>
      <c r="U51" s="565"/>
      <c r="V51" s="565"/>
      <c r="W51" s="565"/>
      <c r="X51" s="565"/>
      <c r="Y51" s="565"/>
      <c r="Z51" s="565"/>
      <c r="AA51" s="565"/>
      <c r="AB51" s="565"/>
      <c r="AC51" s="565"/>
      <c r="AD51" s="565"/>
      <c r="AE51" s="565"/>
      <c r="AF51" s="565"/>
      <c r="AG51" s="565"/>
      <c r="AH51" s="565"/>
      <c r="AI51" s="565"/>
      <c r="AJ51" s="565"/>
      <c r="AK51" s="566"/>
      <c r="AL51" s="160"/>
    </row>
    <row r="52" spans="1:38" ht="17.100000000000001" customHeight="1" x14ac:dyDescent="0.25">
      <c r="A52" s="193"/>
      <c r="B52" s="564"/>
      <c r="C52" s="565"/>
      <c r="D52" s="565"/>
      <c r="E52" s="565"/>
      <c r="F52" s="565"/>
      <c r="G52" s="565"/>
      <c r="H52" s="565"/>
      <c r="I52" s="565"/>
      <c r="J52" s="565"/>
      <c r="K52" s="565"/>
      <c r="L52" s="565"/>
      <c r="M52" s="565"/>
      <c r="N52" s="565"/>
      <c r="O52" s="565"/>
      <c r="P52" s="565"/>
      <c r="Q52" s="565"/>
      <c r="R52" s="565"/>
      <c r="S52" s="565"/>
      <c r="T52" s="565"/>
      <c r="U52" s="565"/>
      <c r="V52" s="565"/>
      <c r="W52" s="565"/>
      <c r="X52" s="565"/>
      <c r="Y52" s="565"/>
      <c r="Z52" s="565"/>
      <c r="AA52" s="565"/>
      <c r="AB52" s="565"/>
      <c r="AC52" s="565"/>
      <c r="AD52" s="565"/>
      <c r="AE52" s="565"/>
      <c r="AF52" s="565"/>
      <c r="AG52" s="565"/>
      <c r="AH52" s="565"/>
      <c r="AI52" s="565"/>
      <c r="AJ52" s="565"/>
      <c r="AK52" s="566"/>
      <c r="AL52" s="160"/>
    </row>
    <row r="53" spans="1:38" ht="17.100000000000001" customHeight="1" x14ac:dyDescent="0.25">
      <c r="A53" s="157"/>
      <c r="B53" s="564"/>
      <c r="C53" s="565"/>
      <c r="D53" s="565"/>
      <c r="E53" s="565"/>
      <c r="F53" s="565"/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  <c r="R53" s="565"/>
      <c r="S53" s="565"/>
      <c r="T53" s="565"/>
      <c r="U53" s="565"/>
      <c r="V53" s="565"/>
      <c r="W53" s="565"/>
      <c r="X53" s="565"/>
      <c r="Y53" s="565"/>
      <c r="Z53" s="565"/>
      <c r="AA53" s="565"/>
      <c r="AB53" s="565"/>
      <c r="AC53" s="565"/>
      <c r="AD53" s="565"/>
      <c r="AE53" s="565"/>
      <c r="AF53" s="565"/>
      <c r="AG53" s="565"/>
      <c r="AH53" s="565"/>
      <c r="AI53" s="565"/>
      <c r="AJ53" s="565"/>
      <c r="AK53" s="566"/>
      <c r="AL53" s="160"/>
    </row>
    <row r="54" spans="1:38" ht="17.100000000000001" customHeight="1" x14ac:dyDescent="0.25">
      <c r="A54" s="157"/>
      <c r="B54" s="564"/>
      <c r="C54" s="565"/>
      <c r="D54" s="565"/>
      <c r="E54" s="565"/>
      <c r="F54" s="565"/>
      <c r="G54" s="565"/>
      <c r="H54" s="565"/>
      <c r="I54" s="565"/>
      <c r="J54" s="565"/>
      <c r="K54" s="565"/>
      <c r="L54" s="565"/>
      <c r="M54" s="565"/>
      <c r="N54" s="565"/>
      <c r="O54" s="565"/>
      <c r="P54" s="565"/>
      <c r="Q54" s="565"/>
      <c r="R54" s="565"/>
      <c r="S54" s="565"/>
      <c r="T54" s="565"/>
      <c r="U54" s="565"/>
      <c r="V54" s="565"/>
      <c r="W54" s="565"/>
      <c r="X54" s="565"/>
      <c r="Y54" s="565"/>
      <c r="Z54" s="565"/>
      <c r="AA54" s="565"/>
      <c r="AB54" s="565"/>
      <c r="AC54" s="565"/>
      <c r="AD54" s="565"/>
      <c r="AE54" s="565"/>
      <c r="AF54" s="565"/>
      <c r="AG54" s="565"/>
      <c r="AH54" s="565"/>
      <c r="AI54" s="565"/>
      <c r="AJ54" s="565"/>
      <c r="AK54" s="566"/>
      <c r="AL54" s="160"/>
    </row>
    <row r="55" spans="1:38" ht="17.100000000000001" customHeight="1" x14ac:dyDescent="0.25">
      <c r="A55" s="157"/>
      <c r="B55" s="564"/>
      <c r="C55" s="565"/>
      <c r="D55" s="565"/>
      <c r="E55" s="565"/>
      <c r="F55" s="565"/>
      <c r="G55" s="565"/>
      <c r="H55" s="565"/>
      <c r="I55" s="565"/>
      <c r="J55" s="565"/>
      <c r="K55" s="565"/>
      <c r="L55" s="565"/>
      <c r="M55" s="565"/>
      <c r="N55" s="565"/>
      <c r="O55" s="565"/>
      <c r="P55" s="565"/>
      <c r="Q55" s="565"/>
      <c r="R55" s="565"/>
      <c r="S55" s="565"/>
      <c r="T55" s="565"/>
      <c r="U55" s="565"/>
      <c r="V55" s="565"/>
      <c r="W55" s="565"/>
      <c r="X55" s="565"/>
      <c r="Y55" s="565"/>
      <c r="Z55" s="565"/>
      <c r="AA55" s="565"/>
      <c r="AB55" s="565"/>
      <c r="AC55" s="565"/>
      <c r="AD55" s="565"/>
      <c r="AE55" s="565"/>
      <c r="AF55" s="565"/>
      <c r="AG55" s="565"/>
      <c r="AH55" s="565"/>
      <c r="AI55" s="565"/>
      <c r="AJ55" s="565"/>
      <c r="AK55" s="566"/>
      <c r="AL55" s="160"/>
    </row>
    <row r="56" spans="1:38" ht="17.100000000000001" customHeight="1" x14ac:dyDescent="0.25">
      <c r="A56" s="193"/>
      <c r="B56" s="564"/>
      <c r="C56" s="565"/>
      <c r="D56" s="565"/>
      <c r="E56" s="565"/>
      <c r="F56" s="565"/>
      <c r="G56" s="565"/>
      <c r="H56" s="565"/>
      <c r="I56" s="565"/>
      <c r="J56" s="565"/>
      <c r="K56" s="565"/>
      <c r="L56" s="565"/>
      <c r="M56" s="565"/>
      <c r="N56" s="565"/>
      <c r="O56" s="565"/>
      <c r="P56" s="565"/>
      <c r="Q56" s="565"/>
      <c r="R56" s="565"/>
      <c r="S56" s="565"/>
      <c r="T56" s="565"/>
      <c r="U56" s="565"/>
      <c r="V56" s="565"/>
      <c r="W56" s="565"/>
      <c r="X56" s="565"/>
      <c r="Y56" s="565"/>
      <c r="Z56" s="565"/>
      <c r="AA56" s="565"/>
      <c r="AB56" s="565"/>
      <c r="AC56" s="565"/>
      <c r="AD56" s="565"/>
      <c r="AE56" s="565"/>
      <c r="AF56" s="565"/>
      <c r="AG56" s="565"/>
      <c r="AH56" s="565"/>
      <c r="AI56" s="565"/>
      <c r="AJ56" s="565"/>
      <c r="AK56" s="566"/>
      <c r="AL56" s="160"/>
    </row>
    <row r="57" spans="1:38" ht="17.100000000000001" customHeight="1" x14ac:dyDescent="0.25">
      <c r="A57" s="192"/>
      <c r="B57" s="564"/>
      <c r="C57" s="565"/>
      <c r="D57" s="565"/>
      <c r="E57" s="565"/>
      <c r="F57" s="565"/>
      <c r="G57" s="565"/>
      <c r="H57" s="565"/>
      <c r="I57" s="565"/>
      <c r="J57" s="565"/>
      <c r="K57" s="565"/>
      <c r="L57" s="565"/>
      <c r="M57" s="565"/>
      <c r="N57" s="565"/>
      <c r="O57" s="565"/>
      <c r="P57" s="565"/>
      <c r="Q57" s="565"/>
      <c r="R57" s="565"/>
      <c r="S57" s="565"/>
      <c r="T57" s="565"/>
      <c r="U57" s="565"/>
      <c r="V57" s="565"/>
      <c r="W57" s="565"/>
      <c r="X57" s="565"/>
      <c r="Y57" s="565"/>
      <c r="Z57" s="565"/>
      <c r="AA57" s="565"/>
      <c r="AB57" s="565"/>
      <c r="AC57" s="565"/>
      <c r="AD57" s="565"/>
      <c r="AE57" s="565"/>
      <c r="AF57" s="565"/>
      <c r="AG57" s="565"/>
      <c r="AH57" s="565"/>
      <c r="AI57" s="565"/>
      <c r="AJ57" s="565"/>
      <c r="AK57" s="566"/>
      <c r="AL57" s="160"/>
    </row>
    <row r="58" spans="1:38" ht="17.100000000000001" customHeight="1" thickBot="1" x14ac:dyDescent="0.3">
      <c r="A58" s="192"/>
      <c r="B58" s="567"/>
      <c r="C58" s="568"/>
      <c r="D58" s="568"/>
      <c r="E58" s="568"/>
      <c r="F58" s="568"/>
      <c r="G58" s="568"/>
      <c r="H58" s="568"/>
      <c r="I58" s="568"/>
      <c r="J58" s="568"/>
      <c r="K58" s="568"/>
      <c r="L58" s="568"/>
      <c r="M58" s="568"/>
      <c r="N58" s="568"/>
      <c r="O58" s="568"/>
      <c r="P58" s="568"/>
      <c r="Q58" s="568"/>
      <c r="R58" s="568"/>
      <c r="S58" s="568"/>
      <c r="T58" s="568"/>
      <c r="U58" s="568"/>
      <c r="V58" s="568"/>
      <c r="W58" s="568"/>
      <c r="X58" s="568"/>
      <c r="Y58" s="568"/>
      <c r="Z58" s="568"/>
      <c r="AA58" s="568"/>
      <c r="AB58" s="568"/>
      <c r="AC58" s="568"/>
      <c r="AD58" s="568"/>
      <c r="AE58" s="568"/>
      <c r="AF58" s="568"/>
      <c r="AG58" s="568"/>
      <c r="AH58" s="568"/>
      <c r="AI58" s="568"/>
      <c r="AJ58" s="568"/>
      <c r="AK58" s="569"/>
      <c r="AL58" s="160"/>
    </row>
    <row r="59" spans="1:38" ht="17.100000000000001" customHeight="1" x14ac:dyDescent="0.25">
      <c r="A59" s="192"/>
      <c r="R59" s="194"/>
      <c r="S59" s="194"/>
      <c r="T59" s="194"/>
      <c r="U59" s="194"/>
      <c r="W59" s="59"/>
      <c r="X59" s="59"/>
      <c r="Y59" s="59"/>
      <c r="AB59" s="1"/>
      <c r="AC59" s="1"/>
      <c r="AD59" s="59"/>
      <c r="AH59" s="29"/>
      <c r="AI59" s="59"/>
      <c r="AJ59" s="29"/>
      <c r="AK59" s="29"/>
      <c r="AL59" s="160"/>
    </row>
    <row r="60" spans="1:38" ht="17.100000000000001" customHeight="1" x14ac:dyDescent="0.25">
      <c r="A60" s="192"/>
      <c r="G60" s="75"/>
      <c r="H60" s="75"/>
      <c r="I60" s="75"/>
      <c r="J60" s="195"/>
      <c r="K60" s="195"/>
      <c r="L60" s="195"/>
      <c r="AL60" s="160"/>
    </row>
    <row r="61" spans="1:38" ht="17.100000000000001" customHeight="1" x14ac:dyDescent="0.25">
      <c r="A61" s="157"/>
      <c r="O61" s="196"/>
      <c r="Q61" s="196"/>
      <c r="S61" s="196"/>
      <c r="U61" s="196"/>
      <c r="W61" s="196"/>
      <c r="Y61" s="196"/>
      <c r="AA61" s="196"/>
      <c r="AC61" s="196"/>
      <c r="AE61" s="196"/>
      <c r="AL61" s="160"/>
    </row>
    <row r="62" spans="1:38" ht="17.100000000000001" customHeight="1" thickBot="1" x14ac:dyDescent="0.3">
      <c r="A62" s="162"/>
      <c r="B62" s="159"/>
      <c r="C62" s="159"/>
      <c r="D62" s="159"/>
      <c r="E62" s="159"/>
      <c r="F62" s="159"/>
      <c r="G62" s="2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73"/>
    </row>
    <row r="100" spans="1:5" ht="17.100000000000001" customHeight="1" x14ac:dyDescent="0.25">
      <c r="A100" s="309" t="str">
        <f>IF(Sprache="English","barrel 2",IF(Sprache="Deutsch","Aggregat 2",""))</f>
        <v>Aggregat 2</v>
      </c>
      <c r="B100" s="309" t="str">
        <f>A100</f>
        <v>Aggregat 2</v>
      </c>
      <c r="C100" s="70"/>
      <c r="D100" s="70"/>
      <c r="E100" s="70"/>
    </row>
  </sheetData>
  <sheetProtection sheet="1" scenarios="1" formatCells="0" formatColumns="0" formatRows="0" insertRows="0" insertHyperlinks="0" deleteRows="0" selectLockedCells="1"/>
  <customSheetViews>
    <customSheetView guid="{6DE06876-0E46-46FE-AC8C-8F0FAAA09620}" showRuler="0" topLeftCell="A28">
      <selection activeCell="L10" sqref="L10:P10"/>
      <pageMargins left="0.39370078740157483" right="0.27559055118110237" top="0.86614173228346458" bottom="0.35433070866141736" header="0.31496062992125984" footer="0.27559055118110237"/>
      <pageSetup paperSize="9" scale="68" orientation="portrait" horizontalDpi="1200" verticalDpi="1200" r:id="rId1"/>
      <headerFooter alignWithMargins="0">
        <oddHeader>&amp;L&amp;"WERFO AG,Regular"&amp;28BC&amp;C
&amp;26Mutterprotokoll&amp;R&amp;8
Einstellrichtwerte_Anschlussplan</oddHeader>
        <oddFooter>&amp;LErstellt&amp;&amp;[Datum]/HLN
Freigegeben &amp;CWerfo
Bemusterung</oddFooter>
      </headerFooter>
    </customSheetView>
  </customSheetViews>
  <mergeCells count="172">
    <mergeCell ref="A19:D19"/>
    <mergeCell ref="A20:D20"/>
    <mergeCell ref="AF21:AH21"/>
    <mergeCell ref="O25:Q25"/>
    <mergeCell ref="T25:V25"/>
    <mergeCell ref="W25:X25"/>
    <mergeCell ref="AF25:AH25"/>
    <mergeCell ref="AI25:AK25"/>
    <mergeCell ref="AI21:AK21"/>
    <mergeCell ref="G21:I21"/>
    <mergeCell ref="J21:K21"/>
    <mergeCell ref="W22:X22"/>
    <mergeCell ref="AF22:AH22"/>
    <mergeCell ref="AI22:AK22"/>
    <mergeCell ref="G20:I20"/>
    <mergeCell ref="G22:I22"/>
    <mergeCell ref="T23:V23"/>
    <mergeCell ref="W23:X23"/>
    <mergeCell ref="AI20:AK20"/>
    <mergeCell ref="AF23:AH23"/>
    <mergeCell ref="AI23:AK23"/>
    <mergeCell ref="G23:I23"/>
    <mergeCell ref="J23:K23"/>
    <mergeCell ref="AF24:AH24"/>
    <mergeCell ref="Z35:AA35"/>
    <mergeCell ref="AB35:AC35"/>
    <mergeCell ref="AD35:AE35"/>
    <mergeCell ref="AF35:AG35"/>
    <mergeCell ref="AH35:AI35"/>
    <mergeCell ref="AJ35:AK35"/>
    <mergeCell ref="AD34:AE34"/>
    <mergeCell ref="AF34:AG34"/>
    <mergeCell ref="AH34:AI34"/>
    <mergeCell ref="AJ34:AK34"/>
    <mergeCell ref="Z34:AA34"/>
    <mergeCell ref="AB34:AC34"/>
    <mergeCell ref="A34:G34"/>
    <mergeCell ref="J35:K35"/>
    <mergeCell ref="L35:M35"/>
    <mergeCell ref="N35:O35"/>
    <mergeCell ref="P35:Q35"/>
    <mergeCell ref="R35:S35"/>
    <mergeCell ref="T35:U35"/>
    <mergeCell ref="V35:W35"/>
    <mergeCell ref="X35:Y35"/>
    <mergeCell ref="L34:M34"/>
    <mergeCell ref="N34:O34"/>
    <mergeCell ref="P34:Q34"/>
    <mergeCell ref="R34:S34"/>
    <mergeCell ref="T34:U34"/>
    <mergeCell ref="V34:W34"/>
    <mergeCell ref="X34:Y34"/>
    <mergeCell ref="A2:F2"/>
    <mergeCell ref="A3:E3"/>
    <mergeCell ref="G3:H3"/>
    <mergeCell ref="I3:K3"/>
    <mergeCell ref="O3:Q3"/>
    <mergeCell ref="S3:W3"/>
    <mergeCell ref="A4:E4"/>
    <mergeCell ref="F4:K4"/>
    <mergeCell ref="A5:E5"/>
    <mergeCell ref="F5:K5"/>
    <mergeCell ref="O4:Q4"/>
    <mergeCell ref="S4:W4"/>
    <mergeCell ref="A7:B7"/>
    <mergeCell ref="O7:P7"/>
    <mergeCell ref="Y7:AA7"/>
    <mergeCell ref="AI7:AK7"/>
    <mergeCell ref="R11:V11"/>
    <mergeCell ref="Y11:AE11"/>
    <mergeCell ref="AF11:AH11"/>
    <mergeCell ref="AF7:AH7"/>
    <mergeCell ref="AI15:AK15"/>
    <mergeCell ref="U14:W14"/>
    <mergeCell ref="Y8:AD8"/>
    <mergeCell ref="R10:V10"/>
    <mergeCell ref="AF9:AH9"/>
    <mergeCell ref="AF10:AH10"/>
    <mergeCell ref="G10:K10"/>
    <mergeCell ref="G11:H11"/>
    <mergeCell ref="I11:K11"/>
    <mergeCell ref="G15:I15"/>
    <mergeCell ref="R15:T15"/>
    <mergeCell ref="U15:W15"/>
    <mergeCell ref="X15:Y15"/>
    <mergeCell ref="AF15:AH15"/>
    <mergeCell ref="O10:Q10"/>
    <mergeCell ref="Y10:AB10"/>
    <mergeCell ref="H30:J30"/>
    <mergeCell ref="M31:N31"/>
    <mergeCell ref="Y31:AD31"/>
    <mergeCell ref="AE31:AH31"/>
    <mergeCell ref="AJ31:AK31"/>
    <mergeCell ref="AJ32:AK32"/>
    <mergeCell ref="B32:G32"/>
    <mergeCell ref="H32:K32"/>
    <mergeCell ref="M32:N32"/>
    <mergeCell ref="Y32:AD32"/>
    <mergeCell ref="AE32:AH32"/>
    <mergeCell ref="B38:AK58"/>
    <mergeCell ref="G17:J17"/>
    <mergeCell ref="J20:K20"/>
    <mergeCell ref="AF17:AH17"/>
    <mergeCell ref="AF18:AH18"/>
    <mergeCell ref="AI18:AK18"/>
    <mergeCell ref="AF19:AH19"/>
    <mergeCell ref="AI19:AK19"/>
    <mergeCell ref="AF20:AH20"/>
    <mergeCell ref="J22:K22"/>
    <mergeCell ref="A29:D29"/>
    <mergeCell ref="L29:N29"/>
    <mergeCell ref="AI29:AK29"/>
    <mergeCell ref="M30:N30"/>
    <mergeCell ref="B30:G30"/>
    <mergeCell ref="Y30:AD30"/>
    <mergeCell ref="AE30:AH30"/>
    <mergeCell ref="AJ30:AK30"/>
    <mergeCell ref="G25:I25"/>
    <mergeCell ref="J25:K25"/>
    <mergeCell ref="G26:I26"/>
    <mergeCell ref="J26:K26"/>
    <mergeCell ref="G27:I27"/>
    <mergeCell ref="J27:K27"/>
    <mergeCell ref="R17:T17"/>
    <mergeCell ref="X17:Y17"/>
    <mergeCell ref="AI24:AK24"/>
    <mergeCell ref="O23:R23"/>
    <mergeCell ref="O11:Q11"/>
    <mergeCell ref="O18:S18"/>
    <mergeCell ref="U18:W18"/>
    <mergeCell ref="G16:I16"/>
    <mergeCell ref="AI17:AK17"/>
    <mergeCell ref="U17:W17"/>
    <mergeCell ref="B37:E37"/>
    <mergeCell ref="A1:AL1"/>
    <mergeCell ref="G8:K8"/>
    <mergeCell ref="G9:K9"/>
    <mergeCell ref="R8:V8"/>
    <mergeCell ref="AF8:AH8"/>
    <mergeCell ref="A16:F16"/>
    <mergeCell ref="A17:F17"/>
    <mergeCell ref="A18:F18"/>
    <mergeCell ref="G18:J18"/>
    <mergeCell ref="O9:Q9"/>
    <mergeCell ref="Y9:AB9"/>
    <mergeCell ref="A14:F14"/>
    <mergeCell ref="G14:J14"/>
    <mergeCell ref="R14:T14"/>
    <mergeCell ref="A15:F15"/>
    <mergeCell ref="R16:T16"/>
    <mergeCell ref="U16:W16"/>
    <mergeCell ref="R9:V9"/>
    <mergeCell ref="G24:I24"/>
    <mergeCell ref="J24:K24"/>
    <mergeCell ref="B31:G31"/>
    <mergeCell ref="H31:K31"/>
    <mergeCell ref="J34:K34"/>
    <mergeCell ref="O8:Q8"/>
    <mergeCell ref="AJ8:AK8"/>
    <mergeCell ref="AI16:AK16"/>
    <mergeCell ref="A8:D8"/>
    <mergeCell ref="X16:Y16"/>
    <mergeCell ref="AF16:AH16"/>
    <mergeCell ref="AJ9:AK9"/>
    <mergeCell ref="AJ10:AK10"/>
    <mergeCell ref="A9:B9"/>
    <mergeCell ref="A10:D10"/>
    <mergeCell ref="A11:E11"/>
    <mergeCell ref="AJ11:AK11"/>
    <mergeCell ref="A13:E13"/>
    <mergeCell ref="O13:Q13"/>
    <mergeCell ref="AC13:AG13"/>
  </mergeCells>
  <phoneticPr fontId="0" type="noConversion"/>
  <conditionalFormatting sqref="G8:K11 R8:V10 G3:K3 S4:W4 AF16:AK25 U18:W18 R35:AK35 H31:K32 G14:J14 AE30:AH32 R15:Y17 G21:K27 G20 J20 G17:J18 G15:G16 J15:J16 H30 K30">
    <cfRule type="containsBlanks" dxfId="44" priority="10">
      <formula>LEN(TRIM(G3))=0</formula>
    </cfRule>
  </conditionalFormatting>
  <conditionalFormatting sqref="Y22:Z23">
    <cfRule type="containsBlanks" dxfId="43" priority="9">
      <formula>LEN(TRIM(Y22))=0</formula>
    </cfRule>
  </conditionalFormatting>
  <conditionalFormatting sqref="W25:X25">
    <cfRule type="containsBlanks" dxfId="42" priority="8">
      <formula>LEN(TRIM(W25))=0</formula>
    </cfRule>
  </conditionalFormatting>
  <conditionalFormatting sqref="J35:Q35">
    <cfRule type="containsBlanks" dxfId="41" priority="7">
      <formula>LEN(TRIM(J35))=0</formula>
    </cfRule>
  </conditionalFormatting>
  <conditionalFormatting sqref="AF8:AH10">
    <cfRule type="containsBlanks" dxfId="40" priority="6">
      <formula>LEN(TRIM(AF8))=0</formula>
    </cfRule>
  </conditionalFormatting>
  <conditionalFormatting sqref="AF11:AH11">
    <cfRule type="containsBlanks" dxfId="39" priority="5">
      <formula>LEN(TRIM(AF11))=0</formula>
    </cfRule>
  </conditionalFormatting>
  <conditionalFormatting sqref="L30:N32 AI30:AK32 AI8:AK11">
    <cfRule type="containsBlanks" dxfId="38" priority="4">
      <formula>LEN(TRIM(L8))=0</formula>
    </cfRule>
  </conditionalFormatting>
  <conditionalFormatting sqref="F5:K5">
    <cfRule type="containsBlanks" dxfId="37" priority="3">
      <formula>LEN(TRIM(F5))=0</formula>
    </cfRule>
  </conditionalFormatting>
  <conditionalFormatting sqref="AI15:AK15">
    <cfRule type="containsBlanks" dxfId="36" priority="2">
      <formula>LEN(TRIM(AI15))=0</formula>
    </cfRule>
  </conditionalFormatting>
  <conditionalFormatting sqref="U14:W14">
    <cfRule type="containsBlanks" dxfId="35" priority="1">
      <formula>LEN(TRIM(U14))=0</formula>
    </cfRule>
  </conditionalFormatting>
  <pageMargins left="0.51181102362204722" right="0.23622047244094491" top="0.9055118110236221" bottom="0.51181102362204722" header="0.51181102362204722" footer="0.19685039370078741"/>
  <pageSetup paperSize="9" scale="43" orientation="portrait" r:id="rId2"/>
  <headerFooter alignWithMargins="0">
    <oddHeader xml:space="preserve">&amp;R&amp;G&amp;L&amp;"Arial,Bold"&amp;22Produktion&amp;C&amp;"Arial,Bold"&amp;  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drawing r:id="rId3"/>
  <legacyDrawingHF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400-000002000000}">
          <x14:formula1>
            <xm:f>Infos!$A$34:$A$36</xm:f>
          </x14:formula1>
          <xm:sqref>AF15</xm:sqref>
        </x14:dataValidation>
        <x14:dataValidation type="list" allowBlank="1" showInputMessage="1" showErrorMessage="1" xr:uid="{00000000-0002-0000-0400-000003000000}">
          <x14:formula1>
            <xm:f>Infos!$A$40:$A$42</xm:f>
          </x14:formula1>
          <xm:sqref>R14:T14</xm:sqref>
        </x14:dataValidation>
        <x14:dataValidation type="list" allowBlank="1" showInputMessage="1" showErrorMessage="1" xr:uid="{00000000-0002-0000-0400-000004000000}">
          <x14:formula1>
            <xm:f>Infos!$E$37:$E$38</xm:f>
          </x14:formula1>
          <xm:sqref>T25:V25</xm:sqref>
        </x14:dataValidation>
        <x14:dataValidation type="list" allowBlank="1" showInputMessage="1" showErrorMessage="1" xr:uid="{00000000-0002-0000-0400-000005000000}">
          <x14:formula1>
            <xm:f>Infos!$H$34:$H$36</xm:f>
          </x14:formula1>
          <xm:sqref>T23:V23</xm:sqref>
        </x14:dataValidation>
        <x14:dataValidation type="list" allowBlank="1" showInputMessage="1" showErrorMessage="1" xr:uid="{00000000-0002-0000-0400-000006000000}">
          <x14:formula1>
            <xm:f>Infos!$A$10:$A$18</xm:f>
          </x14:formula1>
          <xm:sqref>F4:K4</xm:sqref>
        </x14:dataValidation>
        <x14:dataValidation type="list" allowBlank="1" showInputMessage="1" showErrorMessage="1" xr:uid="{00000000-0002-0000-0400-000000000000}">
          <x14:formula1>
            <xm:f>Infos!$A$26:$A$29</xm:f>
          </x14:formula1>
          <xm:sqref>S3:W3</xm:sqref>
        </x14:dataValidation>
        <x14:dataValidation type="list" allowBlank="1" showInputMessage="1" showErrorMessage="1" xr:uid="{00000000-0002-0000-0400-000001000000}">
          <x14:formula1>
            <xm:f>Infos!$E$10:$E$20</xm:f>
          </x14:formula1>
          <xm:sqref>R11:V11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pageSetUpPr fitToPage="1"/>
  </sheetPr>
  <dimension ref="A1:AN100"/>
  <sheetViews>
    <sheetView showGridLines="0" view="pageLayout" zoomScale="70" zoomScaleNormal="85" zoomScalePageLayoutView="70" workbookViewId="0">
      <selection activeCell="E11" sqref="E11:J11"/>
    </sheetView>
  </sheetViews>
  <sheetFormatPr defaultColWidth="3.6640625" defaultRowHeight="17.100000000000001" customHeight="1" x14ac:dyDescent="0.25"/>
  <cols>
    <col min="1" max="35" width="3.6640625" style="4" customWidth="1"/>
    <col min="36" max="36" width="6.109375" style="4" customWidth="1"/>
    <col min="37" max="16384" width="3.6640625" style="4"/>
  </cols>
  <sheetData>
    <row r="1" spans="1:37" s="30" customFormat="1" ht="33.75" customHeight="1" thickTop="1" thickBot="1" x14ac:dyDescent="0.3">
      <c r="A1" s="638" t="s">
        <v>1</v>
      </c>
      <c r="B1" s="639"/>
      <c r="C1" s="639"/>
      <c r="D1" s="639"/>
      <c r="E1" s="627">
        <f>Infos!D4</f>
        <v>0</v>
      </c>
      <c r="F1" s="628"/>
      <c r="G1" s="628"/>
      <c r="H1" s="628"/>
      <c r="I1" s="629" t="str">
        <f>IF(Sprache="English","order number",IF(Sprache="Deutsch","Auftragsnummer",""))</f>
        <v>Auftragsnummer</v>
      </c>
      <c r="J1" s="630"/>
      <c r="K1" s="630"/>
      <c r="L1" s="630"/>
      <c r="M1" s="630"/>
      <c r="N1" s="630"/>
      <c r="O1" s="631"/>
      <c r="P1" s="628">
        <f>Infos!B4</f>
        <v>0</v>
      </c>
      <c r="Q1" s="628"/>
      <c r="R1" s="628"/>
      <c r="S1" s="628"/>
      <c r="T1" s="628"/>
      <c r="U1" s="635"/>
      <c r="V1" s="639" t="str">
        <f>IF(Sprache="English","date/name",IF(Sprache="Deutsch","Datum/Name",""))</f>
        <v>Datum/Name</v>
      </c>
      <c r="W1" s="639"/>
      <c r="X1" s="639"/>
      <c r="Y1" s="639"/>
      <c r="Z1" s="639"/>
      <c r="AA1" s="636" t="str">
        <f>TEXT(Infos!$B$6, "TT-MMM-JJJJ")</f>
        <v>00-Jan-1900</v>
      </c>
      <c r="AB1" s="637"/>
      <c r="AC1" s="637"/>
      <c r="AD1" s="637"/>
      <c r="AE1" s="95"/>
      <c r="AF1" s="628">
        <f>Infos!D5</f>
        <v>0</v>
      </c>
      <c r="AG1" s="628"/>
      <c r="AH1" s="628"/>
      <c r="AI1" s="628"/>
      <c r="AJ1" s="633"/>
    </row>
    <row r="2" spans="1:37" ht="5.25" customHeight="1" thickTop="1" x14ac:dyDescent="0.3">
      <c r="A2" s="10"/>
      <c r="T2" s="10"/>
      <c r="AE2" s="21"/>
      <c r="AF2" s="22"/>
      <c r="AG2" s="22"/>
    </row>
    <row r="3" spans="1:37" s="20" customFormat="1" ht="27.75" customHeight="1" x14ac:dyDescent="0.3">
      <c r="A3" s="634"/>
      <c r="B3" s="634"/>
      <c r="C3" s="634"/>
      <c r="D3" s="634"/>
      <c r="E3" s="634"/>
      <c r="F3" s="634"/>
      <c r="G3" s="634"/>
      <c r="H3" s="634"/>
      <c r="I3" s="634"/>
      <c r="J3" s="634"/>
      <c r="K3" s="634"/>
      <c r="L3" s="634"/>
      <c r="M3" s="634"/>
      <c r="N3" s="634"/>
      <c r="O3" s="634"/>
      <c r="P3" s="634"/>
      <c r="Q3" s="634"/>
      <c r="R3" s="634"/>
      <c r="S3" s="634"/>
      <c r="T3" s="634"/>
      <c r="U3" s="634"/>
      <c r="V3" s="634"/>
      <c r="W3" s="634"/>
      <c r="X3" s="634"/>
      <c r="Y3" s="634"/>
      <c r="Z3" s="634"/>
      <c r="AA3" s="634"/>
      <c r="AB3" s="634"/>
      <c r="AC3" s="634"/>
      <c r="AD3" s="634"/>
      <c r="AE3" s="634"/>
      <c r="AF3" s="634"/>
      <c r="AG3" s="634"/>
      <c r="AH3" s="634"/>
      <c r="AI3" s="634"/>
      <c r="AJ3" s="634"/>
    </row>
    <row r="4" spans="1:37" ht="4.5" customHeight="1" thickBot="1" x14ac:dyDescent="0.3"/>
    <row r="5" spans="1:37" s="31" customFormat="1" ht="24.9" customHeight="1" x14ac:dyDescent="0.25">
      <c r="A5" s="641" t="str">
        <f>IF(Sprache="English","trial N°",IF(Sprache="Deutsch","Versuch Nr.",""))</f>
        <v>Versuch Nr.</v>
      </c>
      <c r="B5" s="632"/>
      <c r="C5" s="632"/>
      <c r="D5" s="632"/>
      <c r="E5" s="632" t="str">
        <f>IF(Sprache="English","metering stroke",IF(Sprache="Deutsch","Dosierweg",""))</f>
        <v>Dosierweg</v>
      </c>
      <c r="F5" s="632"/>
      <c r="G5" s="632"/>
      <c r="H5" s="632"/>
      <c r="I5" s="632"/>
      <c r="J5" s="632"/>
      <c r="K5" s="632" t="str">
        <f>IF(Sprache="English","change over point",IF(Sprache="Deutsch","Umschaltpunkt",""))</f>
        <v>Umschaltpunkt</v>
      </c>
      <c r="L5" s="632"/>
      <c r="M5" s="632"/>
      <c r="N5" s="632"/>
      <c r="O5" s="632"/>
      <c r="P5" s="632"/>
      <c r="Q5" s="632"/>
      <c r="R5" s="632" t="str">
        <f>IF(Sprache="English","filling time",IF(Sprache="Deutsch","Füllzeit",""))</f>
        <v>Füllzeit</v>
      </c>
      <c r="S5" s="632"/>
      <c r="T5" s="632"/>
      <c r="U5" s="632"/>
      <c r="V5" s="632" t="str">
        <f>IF(Sprache="English","weight",IF(Sprache="Deutsch","Gewicht",""))</f>
        <v>Gewicht</v>
      </c>
      <c r="W5" s="632"/>
      <c r="X5" s="632"/>
      <c r="Y5" s="632"/>
      <c r="Z5" s="632" t="str">
        <f>IF(Sprache="English","remarks",IF(Sprache="Deutsch","Bemerkungen",""))</f>
        <v>Bemerkungen</v>
      </c>
      <c r="AA5" s="632"/>
      <c r="AB5" s="632"/>
      <c r="AC5" s="632"/>
      <c r="AD5" s="632"/>
      <c r="AE5" s="632"/>
      <c r="AF5" s="632"/>
      <c r="AG5" s="632"/>
      <c r="AH5" s="632"/>
      <c r="AI5" s="632"/>
      <c r="AJ5" s="640"/>
    </row>
    <row r="6" spans="1:37" ht="24.9" customHeight="1" x14ac:dyDescent="0.25">
      <c r="A6" s="644"/>
      <c r="B6" s="625"/>
      <c r="C6" s="625"/>
      <c r="D6" s="625"/>
      <c r="E6" s="625"/>
      <c r="F6" s="625"/>
      <c r="G6" s="625"/>
      <c r="H6" s="625"/>
      <c r="I6" s="625"/>
      <c r="J6" s="625"/>
      <c r="K6" s="625"/>
      <c r="L6" s="625"/>
      <c r="M6" s="625"/>
      <c r="N6" s="625"/>
      <c r="O6" s="625"/>
      <c r="P6" s="625"/>
      <c r="Q6" s="625"/>
      <c r="R6" s="625"/>
      <c r="S6" s="625"/>
      <c r="T6" s="625"/>
      <c r="U6" s="625"/>
      <c r="V6" s="625"/>
      <c r="W6" s="625"/>
      <c r="X6" s="625"/>
      <c r="Y6" s="625"/>
      <c r="Z6" s="625"/>
      <c r="AA6" s="625"/>
      <c r="AB6" s="625"/>
      <c r="AC6" s="625"/>
      <c r="AD6" s="625"/>
      <c r="AE6" s="625"/>
      <c r="AF6" s="625"/>
      <c r="AG6" s="625"/>
      <c r="AH6" s="625"/>
      <c r="AI6" s="625"/>
      <c r="AJ6" s="626"/>
    </row>
    <row r="7" spans="1:37" ht="24.9" customHeight="1" x14ac:dyDescent="0.25">
      <c r="A7" s="644"/>
      <c r="B7" s="625"/>
      <c r="C7" s="625"/>
      <c r="D7" s="625"/>
      <c r="E7" s="625"/>
      <c r="F7" s="625"/>
      <c r="G7" s="625"/>
      <c r="H7" s="625"/>
      <c r="I7" s="625"/>
      <c r="J7" s="625"/>
      <c r="K7" s="625"/>
      <c r="L7" s="625"/>
      <c r="M7" s="625"/>
      <c r="N7" s="625"/>
      <c r="O7" s="625"/>
      <c r="P7" s="625"/>
      <c r="Q7" s="625"/>
      <c r="R7" s="625"/>
      <c r="S7" s="625"/>
      <c r="T7" s="625"/>
      <c r="U7" s="625"/>
      <c r="V7" s="625"/>
      <c r="W7" s="625"/>
      <c r="X7" s="625"/>
      <c r="Y7" s="625"/>
      <c r="Z7" s="625"/>
      <c r="AA7" s="625"/>
      <c r="AB7" s="625"/>
      <c r="AC7" s="625"/>
      <c r="AD7" s="625"/>
      <c r="AE7" s="625"/>
      <c r="AF7" s="625"/>
      <c r="AG7" s="625"/>
      <c r="AH7" s="625"/>
      <c r="AI7" s="625"/>
      <c r="AJ7" s="626"/>
    </row>
    <row r="8" spans="1:37" ht="24.9" customHeight="1" x14ac:dyDescent="0.25">
      <c r="A8" s="644"/>
      <c r="B8" s="625"/>
      <c r="C8" s="625"/>
      <c r="D8" s="625"/>
      <c r="E8" s="625"/>
      <c r="F8" s="625"/>
      <c r="G8" s="625"/>
      <c r="H8" s="625"/>
      <c r="I8" s="625"/>
      <c r="J8" s="625"/>
      <c r="K8" s="625"/>
      <c r="L8" s="625"/>
      <c r="M8" s="625"/>
      <c r="N8" s="625"/>
      <c r="O8" s="625"/>
      <c r="P8" s="625"/>
      <c r="Q8" s="625"/>
      <c r="R8" s="625"/>
      <c r="S8" s="625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F8" s="625"/>
      <c r="AG8" s="625"/>
      <c r="AH8" s="625"/>
      <c r="AI8" s="625"/>
      <c r="AJ8" s="626"/>
    </row>
    <row r="9" spans="1:37" ht="24.9" customHeight="1" x14ac:dyDescent="0.25">
      <c r="A9" s="644"/>
      <c r="B9" s="625"/>
      <c r="C9" s="625"/>
      <c r="D9" s="625"/>
      <c r="E9" s="625"/>
      <c r="F9" s="625"/>
      <c r="G9" s="625"/>
      <c r="H9" s="625"/>
      <c r="I9" s="625"/>
      <c r="J9" s="625"/>
      <c r="K9" s="625"/>
      <c r="L9" s="625"/>
      <c r="M9" s="625"/>
      <c r="N9" s="625"/>
      <c r="O9" s="625"/>
      <c r="P9" s="625"/>
      <c r="Q9" s="625"/>
      <c r="R9" s="625"/>
      <c r="S9" s="625"/>
      <c r="T9" s="625"/>
      <c r="U9" s="625"/>
      <c r="V9" s="625"/>
      <c r="W9" s="625"/>
      <c r="X9" s="625"/>
      <c r="Y9" s="625"/>
      <c r="Z9" s="625"/>
      <c r="AA9" s="625"/>
      <c r="AB9" s="625"/>
      <c r="AC9" s="625"/>
      <c r="AD9" s="625"/>
      <c r="AE9" s="625"/>
      <c r="AF9" s="625"/>
      <c r="AG9" s="625"/>
      <c r="AH9" s="625"/>
      <c r="AI9" s="625"/>
      <c r="AJ9" s="626"/>
    </row>
    <row r="10" spans="1:37" ht="24.9" customHeight="1" x14ac:dyDescent="0.3">
      <c r="A10" s="644"/>
      <c r="B10" s="625"/>
      <c r="C10" s="625"/>
      <c r="D10" s="625"/>
      <c r="E10" s="625"/>
      <c r="F10" s="625"/>
      <c r="G10" s="625"/>
      <c r="H10" s="625"/>
      <c r="I10" s="625"/>
      <c r="J10" s="625"/>
      <c r="K10" s="625"/>
      <c r="L10" s="625"/>
      <c r="M10" s="625"/>
      <c r="N10" s="625"/>
      <c r="O10" s="625"/>
      <c r="P10" s="625"/>
      <c r="Q10" s="625"/>
      <c r="R10" s="625"/>
      <c r="S10" s="625"/>
      <c r="T10" s="625"/>
      <c r="U10" s="625"/>
      <c r="V10" s="625"/>
      <c r="W10" s="625"/>
      <c r="X10" s="625"/>
      <c r="Y10" s="625"/>
      <c r="Z10" s="625"/>
      <c r="AA10" s="625"/>
      <c r="AB10" s="625"/>
      <c r="AC10" s="625"/>
      <c r="AD10" s="625"/>
      <c r="AE10" s="625"/>
      <c r="AF10" s="625"/>
      <c r="AG10" s="625"/>
      <c r="AH10" s="625"/>
      <c r="AI10" s="625"/>
      <c r="AJ10" s="626"/>
      <c r="AK10" s="23"/>
    </row>
    <row r="11" spans="1:37" ht="24.9" customHeight="1" x14ac:dyDescent="0.25">
      <c r="A11" s="644"/>
      <c r="B11" s="625"/>
      <c r="C11" s="625"/>
      <c r="D11" s="625"/>
      <c r="E11" s="625"/>
      <c r="F11" s="625"/>
      <c r="G11" s="625"/>
      <c r="H11" s="625"/>
      <c r="I11" s="625"/>
      <c r="J11" s="625"/>
      <c r="K11" s="625"/>
      <c r="L11" s="625"/>
      <c r="M11" s="625"/>
      <c r="N11" s="625"/>
      <c r="O11" s="625"/>
      <c r="P11" s="625"/>
      <c r="Q11" s="625"/>
      <c r="R11" s="625"/>
      <c r="S11" s="625"/>
      <c r="T11" s="625"/>
      <c r="U11" s="625"/>
      <c r="V11" s="625"/>
      <c r="W11" s="625"/>
      <c r="X11" s="625"/>
      <c r="Y11" s="625"/>
      <c r="Z11" s="625"/>
      <c r="AA11" s="625"/>
      <c r="AB11" s="625"/>
      <c r="AC11" s="625"/>
      <c r="AD11" s="625"/>
      <c r="AE11" s="625"/>
      <c r="AF11" s="625"/>
      <c r="AG11" s="625"/>
      <c r="AH11" s="625"/>
      <c r="AI11" s="625"/>
      <c r="AJ11" s="626"/>
      <c r="AK11" s="15"/>
    </row>
    <row r="12" spans="1:37" ht="24.9" customHeight="1" x14ac:dyDescent="0.25">
      <c r="A12" s="644"/>
      <c r="B12" s="625"/>
      <c r="C12" s="625"/>
      <c r="D12" s="625"/>
      <c r="E12" s="625"/>
      <c r="F12" s="625"/>
      <c r="G12" s="625"/>
      <c r="H12" s="625"/>
      <c r="I12" s="625"/>
      <c r="J12" s="625"/>
      <c r="K12" s="625"/>
      <c r="L12" s="625"/>
      <c r="M12" s="625"/>
      <c r="N12" s="625"/>
      <c r="O12" s="625"/>
      <c r="P12" s="625"/>
      <c r="Q12" s="625"/>
      <c r="R12" s="625"/>
      <c r="S12" s="625"/>
      <c r="T12" s="625"/>
      <c r="U12" s="625"/>
      <c r="V12" s="625"/>
      <c r="W12" s="625"/>
      <c r="X12" s="625"/>
      <c r="Y12" s="625"/>
      <c r="Z12" s="625"/>
      <c r="AA12" s="625"/>
      <c r="AB12" s="625"/>
      <c r="AC12" s="625"/>
      <c r="AD12" s="625"/>
      <c r="AE12" s="625"/>
      <c r="AF12" s="625"/>
      <c r="AG12" s="625"/>
      <c r="AH12" s="625"/>
      <c r="AI12" s="625"/>
      <c r="AJ12" s="626"/>
    </row>
    <row r="13" spans="1:37" ht="24.9" customHeight="1" x14ac:dyDescent="0.25">
      <c r="A13" s="644"/>
      <c r="B13" s="625"/>
      <c r="C13" s="625"/>
      <c r="D13" s="625"/>
      <c r="E13" s="625"/>
      <c r="F13" s="625"/>
      <c r="G13" s="625"/>
      <c r="H13" s="625"/>
      <c r="I13" s="625"/>
      <c r="J13" s="625"/>
      <c r="K13" s="625"/>
      <c r="L13" s="625"/>
      <c r="M13" s="625"/>
      <c r="N13" s="625"/>
      <c r="O13" s="625"/>
      <c r="P13" s="625"/>
      <c r="Q13" s="625"/>
      <c r="R13" s="625"/>
      <c r="S13" s="625"/>
      <c r="T13" s="625"/>
      <c r="U13" s="625"/>
      <c r="V13" s="625"/>
      <c r="W13" s="625"/>
      <c r="X13" s="625"/>
      <c r="Y13" s="625"/>
      <c r="Z13" s="625"/>
      <c r="AA13" s="625"/>
      <c r="AB13" s="625"/>
      <c r="AC13" s="625"/>
      <c r="AD13" s="625"/>
      <c r="AE13" s="625"/>
      <c r="AF13" s="625"/>
      <c r="AG13" s="625"/>
      <c r="AH13" s="625"/>
      <c r="AI13" s="625"/>
      <c r="AJ13" s="626"/>
      <c r="AK13" s="15"/>
    </row>
    <row r="14" spans="1:37" ht="24.9" customHeight="1" x14ac:dyDescent="0.25">
      <c r="A14" s="644"/>
      <c r="B14" s="625"/>
      <c r="C14" s="625"/>
      <c r="D14" s="625"/>
      <c r="E14" s="625"/>
      <c r="F14" s="625"/>
      <c r="G14" s="625"/>
      <c r="H14" s="625"/>
      <c r="I14" s="625"/>
      <c r="J14" s="625"/>
      <c r="K14" s="625"/>
      <c r="L14" s="625"/>
      <c r="M14" s="625"/>
      <c r="N14" s="625"/>
      <c r="O14" s="625"/>
      <c r="P14" s="625"/>
      <c r="Q14" s="625"/>
      <c r="R14" s="625"/>
      <c r="S14" s="625"/>
      <c r="T14" s="625"/>
      <c r="U14" s="625"/>
      <c r="V14" s="625"/>
      <c r="W14" s="625"/>
      <c r="X14" s="625"/>
      <c r="Y14" s="625"/>
      <c r="Z14" s="625"/>
      <c r="AA14" s="625"/>
      <c r="AB14" s="625"/>
      <c r="AC14" s="625"/>
      <c r="AD14" s="625"/>
      <c r="AE14" s="625"/>
      <c r="AF14" s="625"/>
      <c r="AG14" s="625"/>
      <c r="AH14" s="625"/>
      <c r="AI14" s="625"/>
      <c r="AJ14" s="626"/>
    </row>
    <row r="15" spans="1:37" ht="24.9" customHeight="1" x14ac:dyDescent="0.25">
      <c r="A15" s="644"/>
      <c r="B15" s="625"/>
      <c r="C15" s="625"/>
      <c r="D15" s="625"/>
      <c r="E15" s="625"/>
      <c r="F15" s="625"/>
      <c r="G15" s="625"/>
      <c r="H15" s="625"/>
      <c r="I15" s="625"/>
      <c r="J15" s="625"/>
      <c r="K15" s="625"/>
      <c r="L15" s="625"/>
      <c r="M15" s="625"/>
      <c r="N15" s="625"/>
      <c r="O15" s="625"/>
      <c r="P15" s="625"/>
      <c r="Q15" s="625"/>
      <c r="R15" s="625"/>
      <c r="S15" s="625"/>
      <c r="T15" s="625"/>
      <c r="U15" s="625"/>
      <c r="V15" s="625"/>
      <c r="W15" s="625"/>
      <c r="X15" s="625"/>
      <c r="Y15" s="625"/>
      <c r="Z15" s="625"/>
      <c r="AA15" s="625"/>
      <c r="AB15" s="625"/>
      <c r="AC15" s="625"/>
      <c r="AD15" s="625"/>
      <c r="AE15" s="625"/>
      <c r="AF15" s="625"/>
      <c r="AG15" s="625"/>
      <c r="AH15" s="625"/>
      <c r="AI15" s="625"/>
      <c r="AJ15" s="626"/>
    </row>
    <row r="16" spans="1:37" ht="24.9" customHeight="1" x14ac:dyDescent="0.25">
      <c r="A16" s="644"/>
      <c r="B16" s="625"/>
      <c r="C16" s="625"/>
      <c r="D16" s="625"/>
      <c r="E16" s="625"/>
      <c r="F16" s="625"/>
      <c r="G16" s="625"/>
      <c r="H16" s="625"/>
      <c r="I16" s="625"/>
      <c r="J16" s="625"/>
      <c r="K16" s="625"/>
      <c r="L16" s="625"/>
      <c r="M16" s="625"/>
      <c r="N16" s="625"/>
      <c r="O16" s="625"/>
      <c r="P16" s="625"/>
      <c r="Q16" s="625"/>
      <c r="R16" s="625"/>
      <c r="S16" s="625"/>
      <c r="T16" s="625"/>
      <c r="U16" s="625"/>
      <c r="V16" s="625"/>
      <c r="W16" s="625"/>
      <c r="X16" s="625"/>
      <c r="Y16" s="625"/>
      <c r="Z16" s="625"/>
      <c r="AA16" s="625"/>
      <c r="AB16" s="625"/>
      <c r="AC16" s="625"/>
      <c r="AD16" s="625"/>
      <c r="AE16" s="625"/>
      <c r="AF16" s="625"/>
      <c r="AG16" s="625"/>
      <c r="AH16" s="625"/>
      <c r="AI16" s="625"/>
      <c r="AJ16" s="626"/>
    </row>
    <row r="17" spans="1:39" ht="24.9" customHeight="1" x14ac:dyDescent="0.25">
      <c r="A17" s="644"/>
      <c r="B17" s="625"/>
      <c r="C17" s="625"/>
      <c r="D17" s="625"/>
      <c r="E17" s="625"/>
      <c r="F17" s="625"/>
      <c r="G17" s="625"/>
      <c r="H17" s="625"/>
      <c r="I17" s="625"/>
      <c r="J17" s="625"/>
      <c r="K17" s="625"/>
      <c r="L17" s="625"/>
      <c r="M17" s="625"/>
      <c r="N17" s="625"/>
      <c r="O17" s="625"/>
      <c r="P17" s="625"/>
      <c r="Q17" s="625"/>
      <c r="R17" s="625"/>
      <c r="S17" s="625"/>
      <c r="T17" s="625"/>
      <c r="U17" s="625"/>
      <c r="V17" s="625"/>
      <c r="W17" s="625"/>
      <c r="X17" s="625"/>
      <c r="Y17" s="625"/>
      <c r="Z17" s="625"/>
      <c r="AA17" s="625"/>
      <c r="AB17" s="625"/>
      <c r="AC17" s="625"/>
      <c r="AD17" s="625"/>
      <c r="AE17" s="625"/>
      <c r="AF17" s="625"/>
      <c r="AG17" s="625"/>
      <c r="AH17" s="625"/>
      <c r="AI17" s="625"/>
      <c r="AJ17" s="626"/>
      <c r="AK17" s="18"/>
      <c r="AL17" s="18"/>
      <c r="AM17" s="18"/>
    </row>
    <row r="18" spans="1:39" ht="24.9" customHeight="1" x14ac:dyDescent="0.25">
      <c r="A18" s="644"/>
      <c r="B18" s="625"/>
      <c r="C18" s="625"/>
      <c r="D18" s="625"/>
      <c r="E18" s="625"/>
      <c r="F18" s="625"/>
      <c r="G18" s="625"/>
      <c r="H18" s="625"/>
      <c r="I18" s="625"/>
      <c r="J18" s="625"/>
      <c r="K18" s="625"/>
      <c r="L18" s="625"/>
      <c r="M18" s="625"/>
      <c r="N18" s="625"/>
      <c r="O18" s="625"/>
      <c r="P18" s="625"/>
      <c r="Q18" s="625"/>
      <c r="R18" s="625"/>
      <c r="S18" s="625"/>
      <c r="T18" s="625"/>
      <c r="U18" s="625"/>
      <c r="V18" s="625"/>
      <c r="W18" s="625"/>
      <c r="X18" s="625"/>
      <c r="Y18" s="625"/>
      <c r="Z18" s="625"/>
      <c r="AA18" s="625"/>
      <c r="AB18" s="625"/>
      <c r="AC18" s="625"/>
      <c r="AD18" s="625"/>
      <c r="AE18" s="625"/>
      <c r="AF18" s="625"/>
      <c r="AG18" s="625"/>
      <c r="AH18" s="625"/>
      <c r="AI18" s="625"/>
      <c r="AJ18" s="626"/>
      <c r="AK18" s="7"/>
      <c r="AL18" s="24"/>
      <c r="AM18" s="24"/>
    </row>
    <row r="19" spans="1:39" ht="24.9" customHeight="1" thickBot="1" x14ac:dyDescent="0.3">
      <c r="A19" s="645"/>
      <c r="B19" s="642"/>
      <c r="C19" s="642"/>
      <c r="D19" s="642"/>
      <c r="E19" s="642"/>
      <c r="F19" s="642"/>
      <c r="G19" s="642"/>
      <c r="H19" s="642"/>
      <c r="I19" s="642"/>
      <c r="J19" s="642"/>
      <c r="K19" s="642"/>
      <c r="L19" s="642"/>
      <c r="M19" s="642"/>
      <c r="N19" s="642"/>
      <c r="O19" s="642"/>
      <c r="P19" s="642"/>
      <c r="Q19" s="642"/>
      <c r="R19" s="642"/>
      <c r="S19" s="642"/>
      <c r="T19" s="642"/>
      <c r="U19" s="642"/>
      <c r="V19" s="642"/>
      <c r="W19" s="642"/>
      <c r="X19" s="642"/>
      <c r="Y19" s="642"/>
      <c r="Z19" s="642"/>
      <c r="AA19" s="642"/>
      <c r="AB19" s="642"/>
      <c r="AC19" s="642"/>
      <c r="AD19" s="642"/>
      <c r="AE19" s="642"/>
      <c r="AF19" s="642"/>
      <c r="AG19" s="642"/>
      <c r="AH19" s="642"/>
      <c r="AI19" s="642"/>
      <c r="AJ19" s="643"/>
      <c r="AK19" s="7"/>
      <c r="AL19" s="24"/>
      <c r="AM19" s="24"/>
    </row>
    <row r="20" spans="1:39" ht="17.100000000000001" customHeight="1" x14ac:dyDescent="0.25">
      <c r="G20" s="25"/>
      <c r="H20" s="25"/>
      <c r="I20" s="15"/>
      <c r="J20" s="15"/>
      <c r="S20" s="18"/>
      <c r="T20" s="18"/>
      <c r="U20" s="18"/>
      <c r="V20" s="18"/>
      <c r="W20" s="18"/>
      <c r="X20" s="19"/>
      <c r="AI20" s="7"/>
      <c r="AJ20" s="7"/>
      <c r="AK20" s="7"/>
      <c r="AL20" s="24"/>
      <c r="AM20" s="24"/>
    </row>
    <row r="21" spans="1:39" ht="17.100000000000001" customHeight="1" x14ac:dyDescent="0.25">
      <c r="G21" s="25"/>
      <c r="H21" s="25"/>
      <c r="I21" s="15"/>
      <c r="J21" s="15"/>
      <c r="S21" s="18"/>
      <c r="T21" s="18"/>
      <c r="U21" s="18"/>
      <c r="V21" s="18"/>
      <c r="W21" s="18"/>
      <c r="X21" s="19"/>
      <c r="AI21" s="7"/>
      <c r="AJ21" s="7"/>
      <c r="AK21" s="7"/>
      <c r="AL21" s="24"/>
      <c r="AM21" s="24"/>
    </row>
    <row r="22" spans="1:39" ht="17.100000000000001" customHeight="1" x14ac:dyDescent="0.25">
      <c r="G22" s="26"/>
      <c r="H22" s="26"/>
      <c r="I22" s="26"/>
      <c r="J22" s="26"/>
      <c r="S22" s="18"/>
      <c r="T22" s="18"/>
      <c r="U22" s="18"/>
      <c r="V22" s="18"/>
      <c r="W22" s="18"/>
      <c r="X22" s="19"/>
    </row>
    <row r="23" spans="1:39" ht="17.100000000000001" customHeight="1" x14ac:dyDescent="0.3">
      <c r="E23" s="12"/>
      <c r="F23" s="13"/>
      <c r="G23" s="26"/>
      <c r="H23" s="26"/>
      <c r="I23" s="26"/>
      <c r="J23" s="26"/>
      <c r="S23" s="18"/>
      <c r="T23" s="18"/>
      <c r="U23" s="18"/>
      <c r="V23" s="18"/>
      <c r="W23" s="18"/>
      <c r="X23" s="19"/>
      <c r="AC23" s="5"/>
    </row>
    <row r="24" spans="1:39" ht="17.100000000000001" customHeight="1" x14ac:dyDescent="0.3">
      <c r="A24" s="10"/>
      <c r="B24" s="10"/>
      <c r="C24" s="10"/>
      <c r="G24" s="14"/>
      <c r="H24" s="14"/>
      <c r="I24" s="15"/>
      <c r="J24" s="15"/>
      <c r="K24" s="16"/>
      <c r="L24" s="17"/>
      <c r="M24" s="17"/>
      <c r="S24" s="18"/>
      <c r="T24" s="18"/>
      <c r="U24" s="18"/>
      <c r="V24" s="18"/>
      <c r="W24" s="18"/>
      <c r="X24" s="19"/>
      <c r="AF24" s="27"/>
      <c r="AG24" s="27"/>
      <c r="AH24" s="27"/>
      <c r="AI24" s="6"/>
      <c r="AJ24" s="6"/>
      <c r="AK24" s="7"/>
      <c r="AL24" s="7"/>
    </row>
    <row r="25" spans="1:39" ht="17.100000000000001" customHeight="1" x14ac:dyDescent="0.25">
      <c r="G25" s="14"/>
      <c r="H25" s="14"/>
      <c r="I25" s="15"/>
      <c r="J25" s="15"/>
      <c r="S25" s="18"/>
      <c r="T25" s="18"/>
      <c r="U25" s="18"/>
      <c r="V25" s="18"/>
      <c r="W25" s="18"/>
      <c r="X25" s="19"/>
      <c r="AF25" s="27"/>
      <c r="AG25" s="27"/>
      <c r="AH25" s="27"/>
      <c r="AI25" s="6"/>
      <c r="AJ25" s="6"/>
      <c r="AK25" s="7"/>
      <c r="AL25" s="7"/>
    </row>
    <row r="26" spans="1:39" ht="17.100000000000001" customHeight="1" x14ac:dyDescent="0.25">
      <c r="G26" s="14"/>
      <c r="H26" s="14"/>
      <c r="I26" s="15"/>
      <c r="J26" s="15"/>
      <c r="S26" s="18"/>
      <c r="T26" s="18"/>
      <c r="U26" s="18"/>
      <c r="V26" s="18"/>
      <c r="W26" s="18"/>
      <c r="X26" s="19"/>
      <c r="AF26" s="27"/>
      <c r="AG26" s="27"/>
      <c r="AH26" s="27"/>
      <c r="AI26" s="6"/>
      <c r="AJ26" s="6"/>
      <c r="AK26" s="7"/>
      <c r="AL26" s="7"/>
    </row>
    <row r="27" spans="1:39" ht="17.100000000000001" customHeight="1" x14ac:dyDescent="0.3">
      <c r="A27" s="10"/>
      <c r="B27" s="10"/>
      <c r="C27" s="10"/>
      <c r="E27" s="12"/>
      <c r="F27" s="13"/>
      <c r="G27" s="14"/>
      <c r="H27" s="14"/>
      <c r="I27" s="15"/>
      <c r="J27" s="15"/>
      <c r="K27" s="16"/>
      <c r="L27" s="17"/>
      <c r="M27" s="17"/>
      <c r="S27" s="18"/>
      <c r="T27" s="18"/>
      <c r="U27" s="18"/>
      <c r="V27" s="18"/>
      <c r="W27" s="18"/>
      <c r="X27" s="19"/>
    </row>
    <row r="28" spans="1:39" ht="17.100000000000001" customHeight="1" x14ac:dyDescent="0.3">
      <c r="A28" s="5"/>
      <c r="AD28" s="6"/>
      <c r="AE28" s="6"/>
      <c r="AF28" s="6"/>
      <c r="AK28" s="3"/>
      <c r="AL28" s="7"/>
      <c r="AM28" s="7"/>
    </row>
    <row r="29" spans="1:39" ht="17.100000000000001" customHeight="1" x14ac:dyDescent="0.3">
      <c r="A29" s="5"/>
      <c r="Y29" s="3"/>
      <c r="Z29" s="3"/>
      <c r="AA29" s="3"/>
      <c r="AD29" s="6"/>
      <c r="AE29" s="6"/>
      <c r="AG29" s="3"/>
      <c r="AH29" s="3"/>
      <c r="AJ29" s="8"/>
      <c r="AK29" s="3"/>
      <c r="AL29" s="8"/>
      <c r="AM29" s="8"/>
    </row>
    <row r="31" spans="1:39" ht="17.100000000000001" customHeight="1" x14ac:dyDescent="0.3">
      <c r="A31" s="5"/>
      <c r="G31" s="10"/>
      <c r="H31" s="10"/>
      <c r="I31" s="10"/>
      <c r="J31" s="11"/>
      <c r="K31" s="11"/>
      <c r="L31" s="11"/>
    </row>
    <row r="32" spans="1:39" ht="17.100000000000001" customHeight="1" x14ac:dyDescent="0.25">
      <c r="O32" s="9"/>
      <c r="Q32" s="9"/>
      <c r="S32" s="9"/>
      <c r="U32" s="9"/>
      <c r="V32" s="9"/>
      <c r="W32" s="9"/>
      <c r="Y32" s="9"/>
      <c r="AA32" s="9"/>
      <c r="AC32" s="9"/>
      <c r="AE32" s="9"/>
      <c r="AG32" s="9"/>
    </row>
    <row r="33" spans="1:40" ht="17.100000000000001" customHeight="1" x14ac:dyDescent="0.25">
      <c r="G33" s="9"/>
    </row>
    <row r="34" spans="1:40" ht="17.100000000000001" customHeight="1" x14ac:dyDescent="0.3">
      <c r="A34" s="5"/>
      <c r="G34" s="10"/>
      <c r="H34" s="10"/>
      <c r="I34" s="10"/>
      <c r="J34" s="11"/>
      <c r="K34" s="11"/>
      <c r="L34" s="11"/>
    </row>
    <row r="36" spans="1:40" ht="17.100000000000001" customHeight="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</row>
    <row r="37" spans="1:40" ht="17.100000000000001" customHeight="1" x14ac:dyDescent="0.25">
      <c r="AM37" s="9"/>
      <c r="AN37" s="9"/>
    </row>
    <row r="38" spans="1:40" ht="17.100000000000001" customHeight="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</row>
    <row r="39" spans="1:40" ht="17.100000000000001" customHeight="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</row>
    <row r="40" spans="1:40" ht="17.100000000000001" customHeight="1" x14ac:dyDescent="0.3">
      <c r="A40" s="10"/>
      <c r="G40" s="10"/>
      <c r="H40" s="10"/>
      <c r="I40" s="10"/>
      <c r="J40" s="11"/>
      <c r="K40" s="11"/>
      <c r="L40" s="11"/>
    </row>
    <row r="41" spans="1:40" ht="17.100000000000001" customHeight="1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</row>
    <row r="42" spans="1:40" ht="17.100000000000001" customHeigh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</row>
    <row r="43" spans="1:40" ht="17.100000000000001" customHeight="1" x14ac:dyDescent="0.3">
      <c r="A43" s="10"/>
      <c r="G43" s="10"/>
      <c r="H43" s="10"/>
      <c r="I43" s="10"/>
      <c r="J43" s="11"/>
      <c r="K43" s="11"/>
      <c r="L43" s="11"/>
    </row>
    <row r="44" spans="1:40" ht="17.100000000000001" customHeight="1" x14ac:dyDescent="0.25">
      <c r="F44" s="28"/>
      <c r="G44" s="28"/>
      <c r="H44" s="22"/>
      <c r="AE44" s="3"/>
      <c r="AF44" s="3"/>
      <c r="AJ44" s="28"/>
      <c r="AK44" s="28"/>
      <c r="AL44" s="22"/>
    </row>
    <row r="45" spans="1:40" ht="17.100000000000001" customHeight="1" x14ac:dyDescent="0.25">
      <c r="F45" s="28"/>
      <c r="G45" s="28"/>
      <c r="H45" s="22"/>
      <c r="AE45" s="3"/>
      <c r="AF45" s="3"/>
      <c r="AJ45" s="28"/>
      <c r="AK45" s="28"/>
      <c r="AL45" s="22"/>
    </row>
    <row r="46" spans="1:40" ht="17.100000000000001" customHeight="1" x14ac:dyDescent="0.25">
      <c r="F46" s="28"/>
      <c r="G46" s="28"/>
      <c r="H46" s="22"/>
      <c r="AE46" s="3"/>
      <c r="AF46" s="3"/>
      <c r="AJ46" s="28"/>
      <c r="AK46" s="28"/>
      <c r="AL46" s="22"/>
    </row>
    <row r="47" spans="1:40" ht="17.100000000000001" customHeight="1" x14ac:dyDescent="0.25">
      <c r="F47" s="28"/>
      <c r="G47" s="28"/>
      <c r="H47" s="22"/>
      <c r="AE47" s="3"/>
      <c r="AF47" s="3"/>
      <c r="AJ47" s="28"/>
      <c r="AK47" s="28"/>
      <c r="AL47" s="22"/>
    </row>
    <row r="49" spans="1:38" ht="17.100000000000001" customHeight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</row>
    <row r="50" spans="1:38" ht="17.100000000000001" customHeight="1" x14ac:dyDescent="0.3">
      <c r="A50" s="10"/>
      <c r="G50" s="10"/>
      <c r="H50" s="10"/>
      <c r="I50" s="10"/>
      <c r="J50" s="11"/>
      <c r="K50" s="11"/>
      <c r="L50" s="11"/>
    </row>
    <row r="51" spans="1:38" ht="17.100000000000001" customHeight="1" x14ac:dyDescent="0.25">
      <c r="F51" s="28"/>
      <c r="G51" s="28"/>
      <c r="H51" s="22"/>
      <c r="AE51" s="3"/>
      <c r="AF51" s="3"/>
      <c r="AJ51" s="28"/>
      <c r="AK51" s="28"/>
      <c r="AL51" s="22"/>
    </row>
    <row r="52" spans="1:38" ht="17.100000000000001" customHeight="1" x14ac:dyDescent="0.25">
      <c r="F52" s="28"/>
      <c r="G52" s="28"/>
      <c r="H52" s="22"/>
      <c r="AE52" s="3"/>
      <c r="AF52" s="3"/>
      <c r="AJ52" s="28"/>
      <c r="AK52" s="28"/>
      <c r="AL52" s="22"/>
    </row>
    <row r="53" spans="1:38" ht="17.100000000000001" customHeight="1" x14ac:dyDescent="0.25">
      <c r="F53" s="28"/>
      <c r="G53" s="28"/>
      <c r="H53" s="22"/>
      <c r="AE53" s="3"/>
      <c r="AF53" s="3"/>
      <c r="AJ53" s="28"/>
      <c r="AK53" s="28"/>
      <c r="AL53" s="22"/>
    </row>
    <row r="59" spans="1:38" ht="17.100000000000001" customHeight="1" x14ac:dyDescent="0.3">
      <c r="A59" s="10"/>
    </row>
    <row r="100" spans="1:4" ht="17.100000000000001" customHeight="1" x14ac:dyDescent="0.25">
      <c r="A100" s="307" t="str">
        <f>IF(Sprache="English","filling study",IF(Sprache="Deutsch","Füllstudie",""))</f>
        <v>Füllstudie</v>
      </c>
      <c r="B100" s="310" t="str">
        <f>A100</f>
        <v>Füllstudie</v>
      </c>
      <c r="C100" s="310"/>
      <c r="D100" s="310"/>
    </row>
  </sheetData>
  <sheetProtection sheet="1" scenarios="1" formatCells="0" formatColumns="0" formatRows="0" insertRows="0" insertHyperlinks="0" deleteRows="0" selectLockedCells="1"/>
  <mergeCells count="98">
    <mergeCell ref="E19:J1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E11:J11"/>
    <mergeCell ref="E12:J12"/>
    <mergeCell ref="E13:J13"/>
    <mergeCell ref="E14:J14"/>
    <mergeCell ref="A6:D6"/>
    <mergeCell ref="A7:D7"/>
    <mergeCell ref="A8:D8"/>
    <mergeCell ref="A9:D9"/>
    <mergeCell ref="E18:J18"/>
    <mergeCell ref="E16:J16"/>
    <mergeCell ref="E17:J17"/>
    <mergeCell ref="K19:Q19"/>
    <mergeCell ref="R19:U19"/>
    <mergeCell ref="V19:Y19"/>
    <mergeCell ref="Z7:AJ7"/>
    <mergeCell ref="Z11:AJ11"/>
    <mergeCell ref="Z12:AJ12"/>
    <mergeCell ref="Z13:AJ13"/>
    <mergeCell ref="Z17:AJ17"/>
    <mergeCell ref="Z18:AJ18"/>
    <mergeCell ref="Z19:AJ19"/>
    <mergeCell ref="K17:Q17"/>
    <mergeCell ref="R17:U17"/>
    <mergeCell ref="V17:Y17"/>
    <mergeCell ref="K18:Q18"/>
    <mergeCell ref="R18:U18"/>
    <mergeCell ref="V18:Y18"/>
    <mergeCell ref="K12:Q12"/>
    <mergeCell ref="R12:U12"/>
    <mergeCell ref="V12:Y12"/>
    <mergeCell ref="K13:Q13"/>
    <mergeCell ref="R13:U13"/>
    <mergeCell ref="V13:Y13"/>
    <mergeCell ref="K10:Q10"/>
    <mergeCell ref="R10:U10"/>
    <mergeCell ref="V10:Y10"/>
    <mergeCell ref="K11:Q11"/>
    <mergeCell ref="R11:U11"/>
    <mergeCell ref="V11:Y11"/>
    <mergeCell ref="K8:Q8"/>
    <mergeCell ref="R8:U8"/>
    <mergeCell ref="V8:Y8"/>
    <mergeCell ref="K9:Q9"/>
    <mergeCell ref="R9:U9"/>
    <mergeCell ref="V9:Y9"/>
    <mergeCell ref="E1:H1"/>
    <mergeCell ref="I1:O1"/>
    <mergeCell ref="E5:J5"/>
    <mergeCell ref="AF1:AJ1"/>
    <mergeCell ref="A3:AJ3"/>
    <mergeCell ref="P1:U1"/>
    <mergeCell ref="AA1:AD1"/>
    <mergeCell ref="A1:D1"/>
    <mergeCell ref="V1:Z1"/>
    <mergeCell ref="Z5:AJ5"/>
    <mergeCell ref="K5:Q5"/>
    <mergeCell ref="R5:U5"/>
    <mergeCell ref="V5:Y5"/>
    <mergeCell ref="A5:D5"/>
    <mergeCell ref="Z14:AJ14"/>
    <mergeCell ref="Z15:AJ15"/>
    <mergeCell ref="Z16:AJ16"/>
    <mergeCell ref="K14:Q14"/>
    <mergeCell ref="R14:U14"/>
    <mergeCell ref="V14:Y14"/>
    <mergeCell ref="K15:Q15"/>
    <mergeCell ref="R15:U15"/>
    <mergeCell ref="V15:Y15"/>
    <mergeCell ref="K16:Q16"/>
    <mergeCell ref="R16:U16"/>
    <mergeCell ref="V16:Y16"/>
    <mergeCell ref="Z6:AJ6"/>
    <mergeCell ref="Z8:AJ8"/>
    <mergeCell ref="Z9:AJ9"/>
    <mergeCell ref="Z10:AJ10"/>
    <mergeCell ref="E15:J15"/>
    <mergeCell ref="E6:J6"/>
    <mergeCell ref="E7:J7"/>
    <mergeCell ref="E8:J8"/>
    <mergeCell ref="E9:J9"/>
    <mergeCell ref="E10:J10"/>
    <mergeCell ref="K6:Q6"/>
    <mergeCell ref="R6:U6"/>
    <mergeCell ref="V6:Y6"/>
    <mergeCell ref="K7:Q7"/>
    <mergeCell ref="R7:U7"/>
    <mergeCell ref="V7:Y7"/>
  </mergeCells>
  <phoneticPr fontId="0" type="noConversion"/>
  <conditionalFormatting sqref="A6:AJ19">
    <cfRule type="expression" dxfId="34" priority="1">
      <formula>ISBLANK(A6)</formula>
    </cfRule>
  </conditionalFormatting>
  <pageMargins left="0.78740157480314965" right="0.27559055118110237" top="0.98425196850393704" bottom="0.6692913385826772" header="0.31496062992125984" footer="0.27559055118110237"/>
  <pageSetup paperSize="9" scale="40" orientation="portrait" r:id="rId1"/>
  <headerFooter alignWithMargins="0">
    <oddHeader>&amp;R&amp;G&amp;L&amp;"Arial,Bold"&amp;22Produktion&amp;C&amp;"Arial,Bold"&amp;26Füllstudie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>
    <pageSetUpPr fitToPage="1"/>
  </sheetPr>
  <dimension ref="A1:AN100"/>
  <sheetViews>
    <sheetView showGridLines="0" view="pageLayout" zoomScale="85" zoomScaleNormal="100" zoomScalePageLayoutView="85" workbookViewId="0">
      <selection activeCell="Z17" sqref="Z17:AJ17"/>
    </sheetView>
  </sheetViews>
  <sheetFormatPr defaultColWidth="3.6640625" defaultRowHeight="17.100000000000001" customHeight="1" x14ac:dyDescent="0.25"/>
  <cols>
    <col min="1" max="35" width="3.6640625" style="98" customWidth="1"/>
    <col min="36" max="36" width="6.109375" style="98" customWidth="1"/>
    <col min="37" max="16384" width="3.6640625" style="98"/>
  </cols>
  <sheetData>
    <row r="1" spans="1:37" s="96" customFormat="1" ht="33.75" customHeight="1" thickTop="1" thickBot="1" x14ac:dyDescent="0.3">
      <c r="A1" s="658" t="s">
        <v>1</v>
      </c>
      <c r="B1" s="659"/>
      <c r="C1" s="659"/>
      <c r="D1" s="660">
        <f>Infos!D4</f>
        <v>0</v>
      </c>
      <c r="E1" s="661"/>
      <c r="F1" s="661"/>
      <c r="G1" s="661"/>
      <c r="H1" s="662"/>
      <c r="I1" s="655" t="str">
        <f>IF(Sprache="English","order number",IF(Sprache="Deutsch","Auftragsnummer",""))</f>
        <v>Auftragsnummer</v>
      </c>
      <c r="J1" s="656"/>
      <c r="K1" s="656"/>
      <c r="L1" s="656"/>
      <c r="M1" s="656"/>
      <c r="N1" s="656"/>
      <c r="O1" s="657"/>
      <c r="P1" s="649">
        <f>Infos!B4</f>
        <v>0</v>
      </c>
      <c r="Q1" s="649"/>
      <c r="R1" s="649"/>
      <c r="S1" s="649"/>
      <c r="T1" s="649"/>
      <c r="U1" s="650"/>
      <c r="V1" s="653" t="str">
        <f>IF(Sprache="English","date/name",IF(Sprache="Deutsch","Datum/Name",""))</f>
        <v>Datum/Name</v>
      </c>
      <c r="W1" s="653"/>
      <c r="X1" s="653"/>
      <c r="Y1" s="653"/>
      <c r="Z1" s="653"/>
      <c r="AA1" s="651" t="str">
        <f>TEXT(Infos!$B$6, "TT-MMM-JJJJ")</f>
        <v>00-Jan-1900</v>
      </c>
      <c r="AB1" s="652"/>
      <c r="AC1" s="652"/>
      <c r="AD1" s="652"/>
      <c r="AE1" s="125"/>
      <c r="AF1" s="649">
        <f>Infos!D5</f>
        <v>0</v>
      </c>
      <c r="AG1" s="649"/>
      <c r="AH1" s="649"/>
      <c r="AI1" s="649"/>
      <c r="AJ1" s="654"/>
    </row>
    <row r="2" spans="1:37" ht="5.25" customHeight="1" thickTop="1" x14ac:dyDescent="0.3">
      <c r="A2" s="97"/>
      <c r="T2" s="97"/>
      <c r="AE2" s="99"/>
      <c r="AF2" s="100"/>
      <c r="AG2" s="100"/>
    </row>
    <row r="3" spans="1:37" s="101" customFormat="1" ht="27.75" customHeight="1" x14ac:dyDescent="0.3">
      <c r="A3" s="648"/>
      <c r="B3" s="648"/>
      <c r="C3" s="648"/>
      <c r="D3" s="648"/>
      <c r="E3" s="648"/>
      <c r="F3" s="648"/>
      <c r="G3" s="648"/>
      <c r="H3" s="648"/>
      <c r="I3" s="648"/>
      <c r="J3" s="648"/>
      <c r="K3" s="648"/>
      <c r="L3" s="648"/>
      <c r="M3" s="648"/>
      <c r="N3" s="648"/>
      <c r="O3" s="648"/>
      <c r="P3" s="648"/>
      <c r="Q3" s="648"/>
      <c r="R3" s="648"/>
      <c r="S3" s="648"/>
      <c r="T3" s="648"/>
      <c r="U3" s="648"/>
      <c r="V3" s="648"/>
      <c r="W3" s="648"/>
      <c r="X3" s="648"/>
      <c r="Y3" s="648"/>
      <c r="Z3" s="648"/>
      <c r="AA3" s="648"/>
      <c r="AB3" s="648"/>
      <c r="AC3" s="648"/>
      <c r="AD3" s="648"/>
      <c r="AE3" s="648"/>
      <c r="AF3" s="648"/>
      <c r="AG3" s="648"/>
      <c r="AH3" s="648"/>
      <c r="AI3" s="648"/>
      <c r="AJ3" s="648"/>
    </row>
    <row r="4" spans="1:37" ht="4.5" customHeight="1" x14ac:dyDescent="0.25"/>
    <row r="5" spans="1:37" s="102" customFormat="1" ht="24.9" customHeight="1" x14ac:dyDescent="0.25">
      <c r="A5" s="646"/>
      <c r="B5" s="647"/>
      <c r="C5" s="647"/>
      <c r="D5" s="647"/>
      <c r="E5" s="647"/>
      <c r="F5" s="646"/>
      <c r="G5" s="647"/>
      <c r="H5" s="647"/>
      <c r="I5" s="647"/>
      <c r="J5" s="647"/>
      <c r="K5" s="646"/>
      <c r="L5" s="647"/>
      <c r="M5" s="647"/>
      <c r="N5" s="647"/>
      <c r="O5" s="647"/>
      <c r="P5" s="646"/>
      <c r="Q5" s="647"/>
      <c r="R5" s="647"/>
      <c r="S5" s="647"/>
      <c r="T5" s="647"/>
      <c r="U5" s="646"/>
      <c r="V5" s="647"/>
      <c r="W5" s="647"/>
      <c r="X5" s="647"/>
      <c r="Y5" s="647"/>
      <c r="Z5" s="646"/>
      <c r="AA5" s="646"/>
      <c r="AB5" s="646"/>
      <c r="AC5" s="646"/>
      <c r="AD5" s="646"/>
      <c r="AE5" s="646"/>
      <c r="AF5" s="646"/>
      <c r="AG5" s="646"/>
      <c r="AH5" s="646"/>
      <c r="AI5" s="646"/>
      <c r="AJ5" s="646"/>
    </row>
    <row r="6" spans="1:37" ht="24.9" customHeight="1" x14ac:dyDescent="0.3">
      <c r="A6" s="663"/>
      <c r="B6" s="664"/>
      <c r="C6" s="664"/>
      <c r="D6" s="664"/>
      <c r="E6" s="664"/>
      <c r="F6" s="665"/>
      <c r="G6" s="666"/>
      <c r="H6" s="666"/>
      <c r="I6" s="666"/>
      <c r="J6" s="666"/>
      <c r="K6" s="665"/>
      <c r="L6" s="666"/>
      <c r="M6" s="666"/>
      <c r="N6" s="666"/>
      <c r="O6" s="666"/>
      <c r="P6" s="669"/>
      <c r="Q6" s="669"/>
      <c r="R6" s="669"/>
      <c r="S6" s="669"/>
      <c r="T6" s="669"/>
      <c r="U6" s="667"/>
      <c r="V6" s="668"/>
      <c r="W6" s="668"/>
      <c r="X6" s="668"/>
      <c r="Y6" s="668"/>
      <c r="Z6" s="664"/>
      <c r="AA6" s="664"/>
      <c r="AB6" s="664"/>
      <c r="AC6" s="664"/>
      <c r="AD6" s="664"/>
      <c r="AE6" s="664"/>
      <c r="AF6" s="664"/>
      <c r="AG6" s="664"/>
      <c r="AH6" s="664"/>
      <c r="AI6" s="664"/>
      <c r="AJ6" s="664"/>
    </row>
    <row r="7" spans="1:37" ht="24.9" customHeight="1" x14ac:dyDescent="0.3">
      <c r="A7" s="663"/>
      <c r="B7" s="663"/>
      <c r="C7" s="663"/>
      <c r="D7" s="663"/>
      <c r="E7" s="663"/>
      <c r="F7" s="665"/>
      <c r="G7" s="666"/>
      <c r="H7" s="666"/>
      <c r="I7" s="666"/>
      <c r="J7" s="666"/>
      <c r="K7" s="665"/>
      <c r="L7" s="666"/>
      <c r="M7" s="666"/>
      <c r="N7" s="666"/>
      <c r="O7" s="666"/>
      <c r="P7" s="669"/>
      <c r="Q7" s="669"/>
      <c r="R7" s="669"/>
      <c r="S7" s="669"/>
      <c r="T7" s="669"/>
      <c r="U7" s="667"/>
      <c r="V7" s="668"/>
      <c r="W7" s="668"/>
      <c r="X7" s="668"/>
      <c r="Y7" s="668"/>
      <c r="Z7" s="664"/>
      <c r="AA7" s="664"/>
      <c r="AB7" s="664"/>
      <c r="AC7" s="664"/>
      <c r="AD7" s="664"/>
      <c r="AE7" s="664"/>
      <c r="AF7" s="664"/>
      <c r="AG7" s="664"/>
      <c r="AH7" s="664"/>
      <c r="AI7" s="664"/>
      <c r="AJ7" s="664"/>
    </row>
    <row r="8" spans="1:37" ht="24.9" customHeight="1" x14ac:dyDescent="0.3">
      <c r="A8" s="663"/>
      <c r="B8" s="663"/>
      <c r="C8" s="663"/>
      <c r="D8" s="663"/>
      <c r="E8" s="663"/>
      <c r="F8" s="665"/>
      <c r="G8" s="666"/>
      <c r="H8" s="666"/>
      <c r="I8" s="666"/>
      <c r="J8" s="666"/>
      <c r="K8" s="665"/>
      <c r="L8" s="666"/>
      <c r="M8" s="666"/>
      <c r="N8" s="666"/>
      <c r="O8" s="666"/>
      <c r="P8" s="669"/>
      <c r="Q8" s="669"/>
      <c r="R8" s="669"/>
      <c r="S8" s="669"/>
      <c r="T8" s="669"/>
      <c r="U8" s="667"/>
      <c r="V8" s="668"/>
      <c r="W8" s="668"/>
      <c r="X8" s="668"/>
      <c r="Y8" s="668"/>
      <c r="Z8" s="664"/>
      <c r="AA8" s="664"/>
      <c r="AB8" s="664"/>
      <c r="AC8" s="664"/>
      <c r="AD8" s="664"/>
      <c r="AE8" s="664"/>
      <c r="AF8" s="664"/>
      <c r="AG8" s="664"/>
      <c r="AH8" s="664"/>
      <c r="AI8" s="664"/>
      <c r="AJ8" s="664"/>
    </row>
    <row r="9" spans="1:37" ht="24.9" customHeight="1" x14ac:dyDescent="0.3">
      <c r="A9" s="663"/>
      <c r="B9" s="663"/>
      <c r="C9" s="663"/>
      <c r="D9" s="663"/>
      <c r="E9" s="663"/>
      <c r="F9" s="665"/>
      <c r="G9" s="666"/>
      <c r="H9" s="666"/>
      <c r="I9" s="666"/>
      <c r="J9" s="666"/>
      <c r="K9" s="665"/>
      <c r="L9" s="666"/>
      <c r="M9" s="666"/>
      <c r="N9" s="666"/>
      <c r="O9" s="666"/>
      <c r="P9" s="669"/>
      <c r="Q9" s="669"/>
      <c r="R9" s="669"/>
      <c r="S9" s="669"/>
      <c r="T9" s="669"/>
      <c r="U9" s="667"/>
      <c r="V9" s="668"/>
      <c r="W9" s="668"/>
      <c r="X9" s="668"/>
      <c r="Y9" s="668"/>
      <c r="Z9" s="664"/>
      <c r="AA9" s="664"/>
      <c r="AB9" s="664"/>
      <c r="AC9" s="664"/>
      <c r="AD9" s="664"/>
      <c r="AE9" s="664"/>
      <c r="AF9" s="664"/>
      <c r="AG9" s="664"/>
      <c r="AH9" s="664"/>
      <c r="AI9" s="664"/>
      <c r="AJ9" s="664"/>
    </row>
    <row r="10" spans="1:37" ht="24.9" customHeight="1" x14ac:dyDescent="0.3">
      <c r="A10" s="663"/>
      <c r="B10" s="663"/>
      <c r="C10" s="663"/>
      <c r="D10" s="663"/>
      <c r="E10" s="663"/>
      <c r="F10" s="665"/>
      <c r="G10" s="666"/>
      <c r="H10" s="666"/>
      <c r="I10" s="666"/>
      <c r="J10" s="666"/>
      <c r="K10" s="665"/>
      <c r="L10" s="666"/>
      <c r="M10" s="666"/>
      <c r="N10" s="666"/>
      <c r="O10" s="666"/>
      <c r="P10" s="669"/>
      <c r="Q10" s="669"/>
      <c r="R10" s="669"/>
      <c r="S10" s="669"/>
      <c r="T10" s="669"/>
      <c r="U10" s="667"/>
      <c r="V10" s="668"/>
      <c r="W10" s="668"/>
      <c r="X10" s="668"/>
      <c r="Y10" s="668"/>
      <c r="Z10" s="664"/>
      <c r="AA10" s="664"/>
      <c r="AB10" s="664"/>
      <c r="AC10" s="664"/>
      <c r="AD10" s="664"/>
      <c r="AE10" s="664"/>
      <c r="AF10" s="664"/>
      <c r="AG10" s="664"/>
      <c r="AH10" s="664"/>
      <c r="AI10" s="664"/>
      <c r="AJ10" s="664"/>
      <c r="AK10" s="103"/>
    </row>
    <row r="11" spans="1:37" ht="24.9" customHeight="1" x14ac:dyDescent="0.3">
      <c r="A11" s="663"/>
      <c r="B11" s="663"/>
      <c r="C11" s="663"/>
      <c r="D11" s="663"/>
      <c r="E11" s="663"/>
      <c r="F11" s="665"/>
      <c r="G11" s="666"/>
      <c r="H11" s="666"/>
      <c r="I11" s="666"/>
      <c r="J11" s="666"/>
      <c r="K11" s="665"/>
      <c r="L11" s="666"/>
      <c r="M11" s="666"/>
      <c r="N11" s="666"/>
      <c r="O11" s="666"/>
      <c r="P11" s="669"/>
      <c r="Q11" s="669"/>
      <c r="R11" s="669"/>
      <c r="S11" s="669"/>
      <c r="T11" s="669"/>
      <c r="U11" s="667"/>
      <c r="V11" s="668"/>
      <c r="W11" s="668"/>
      <c r="X11" s="668"/>
      <c r="Y11" s="668"/>
      <c r="Z11" s="664"/>
      <c r="AA11" s="664"/>
      <c r="AB11" s="664"/>
      <c r="AC11" s="664"/>
      <c r="AD11" s="664"/>
      <c r="AE11" s="664"/>
      <c r="AF11" s="664"/>
      <c r="AG11" s="664"/>
      <c r="AH11" s="664"/>
      <c r="AI11" s="664"/>
      <c r="AJ11" s="664"/>
      <c r="AK11" s="104"/>
    </row>
    <row r="12" spans="1:37" ht="24.9" customHeight="1" x14ac:dyDescent="0.3">
      <c r="A12" s="663"/>
      <c r="B12" s="663"/>
      <c r="C12" s="663"/>
      <c r="D12" s="663"/>
      <c r="E12" s="663"/>
      <c r="F12" s="665"/>
      <c r="G12" s="666"/>
      <c r="H12" s="666"/>
      <c r="I12" s="666"/>
      <c r="J12" s="666"/>
      <c r="K12" s="665"/>
      <c r="L12" s="666"/>
      <c r="M12" s="666"/>
      <c r="N12" s="666"/>
      <c r="O12" s="666"/>
      <c r="P12" s="669"/>
      <c r="Q12" s="669"/>
      <c r="R12" s="669"/>
      <c r="S12" s="669"/>
      <c r="T12" s="669"/>
      <c r="U12" s="667"/>
      <c r="V12" s="668"/>
      <c r="W12" s="668"/>
      <c r="X12" s="668"/>
      <c r="Y12" s="668"/>
      <c r="Z12" s="664"/>
      <c r="AA12" s="664"/>
      <c r="AB12" s="664"/>
      <c r="AC12" s="664"/>
      <c r="AD12" s="664"/>
      <c r="AE12" s="664"/>
      <c r="AF12" s="664"/>
      <c r="AG12" s="664"/>
      <c r="AH12" s="664"/>
      <c r="AI12" s="664"/>
      <c r="AJ12" s="664"/>
    </row>
    <row r="13" spans="1:37" ht="24.9" customHeight="1" x14ac:dyDescent="0.3">
      <c r="A13" s="663"/>
      <c r="B13" s="663"/>
      <c r="C13" s="663"/>
      <c r="D13" s="663"/>
      <c r="E13" s="663"/>
      <c r="F13" s="665"/>
      <c r="G13" s="666"/>
      <c r="H13" s="666"/>
      <c r="I13" s="666"/>
      <c r="J13" s="666"/>
      <c r="K13" s="665"/>
      <c r="L13" s="666"/>
      <c r="M13" s="666"/>
      <c r="N13" s="666"/>
      <c r="O13" s="666"/>
      <c r="P13" s="669"/>
      <c r="Q13" s="669"/>
      <c r="R13" s="669"/>
      <c r="S13" s="669"/>
      <c r="T13" s="669"/>
      <c r="U13" s="667"/>
      <c r="V13" s="668"/>
      <c r="W13" s="668"/>
      <c r="X13" s="668"/>
      <c r="Y13" s="668"/>
      <c r="Z13" s="664"/>
      <c r="AA13" s="664"/>
      <c r="AB13" s="664"/>
      <c r="AC13" s="664"/>
      <c r="AD13" s="664"/>
      <c r="AE13" s="664"/>
      <c r="AF13" s="664"/>
      <c r="AG13" s="664"/>
      <c r="AH13" s="664"/>
      <c r="AI13" s="664"/>
      <c r="AJ13" s="664"/>
      <c r="AK13" s="104"/>
    </row>
    <row r="14" spans="1:37" ht="24.9" customHeight="1" x14ac:dyDescent="0.3">
      <c r="A14" s="663"/>
      <c r="B14" s="663"/>
      <c r="C14" s="663"/>
      <c r="D14" s="663"/>
      <c r="E14" s="663"/>
      <c r="F14" s="665"/>
      <c r="G14" s="666"/>
      <c r="H14" s="666"/>
      <c r="I14" s="666"/>
      <c r="J14" s="666"/>
      <c r="K14" s="665"/>
      <c r="L14" s="666"/>
      <c r="M14" s="666"/>
      <c r="N14" s="666"/>
      <c r="O14" s="666"/>
      <c r="P14" s="669"/>
      <c r="Q14" s="669"/>
      <c r="R14" s="669"/>
      <c r="S14" s="669"/>
      <c r="T14" s="669"/>
      <c r="U14" s="667"/>
      <c r="V14" s="668"/>
      <c r="W14" s="668"/>
      <c r="X14" s="668"/>
      <c r="Y14" s="668"/>
      <c r="Z14" s="664"/>
      <c r="AA14" s="664"/>
      <c r="AB14" s="664"/>
      <c r="AC14" s="664"/>
      <c r="AD14" s="664"/>
      <c r="AE14" s="664"/>
      <c r="AF14" s="664"/>
      <c r="AG14" s="664"/>
      <c r="AH14" s="664"/>
      <c r="AI14" s="664"/>
      <c r="AJ14" s="664"/>
    </row>
    <row r="15" spans="1:37" ht="24.9" customHeight="1" x14ac:dyDescent="0.3">
      <c r="A15" s="663"/>
      <c r="B15" s="663"/>
      <c r="C15" s="663"/>
      <c r="D15" s="663"/>
      <c r="E15" s="663"/>
      <c r="F15" s="665"/>
      <c r="G15" s="666"/>
      <c r="H15" s="666"/>
      <c r="I15" s="666"/>
      <c r="J15" s="666"/>
      <c r="K15" s="665"/>
      <c r="L15" s="666"/>
      <c r="M15" s="666"/>
      <c r="N15" s="666"/>
      <c r="O15" s="666"/>
      <c r="P15" s="669"/>
      <c r="Q15" s="669"/>
      <c r="R15" s="669"/>
      <c r="S15" s="669"/>
      <c r="T15" s="669"/>
      <c r="U15" s="667"/>
      <c r="V15" s="668"/>
      <c r="W15" s="668"/>
      <c r="X15" s="668"/>
      <c r="Y15" s="668"/>
      <c r="Z15" s="664"/>
      <c r="AA15" s="664"/>
      <c r="AB15" s="664"/>
      <c r="AC15" s="664"/>
      <c r="AD15" s="664"/>
      <c r="AE15" s="664"/>
      <c r="AF15" s="664"/>
      <c r="AG15" s="664"/>
      <c r="AH15" s="664"/>
      <c r="AI15" s="664"/>
      <c r="AJ15" s="664"/>
    </row>
    <row r="16" spans="1:37" ht="24.9" customHeight="1" x14ac:dyDescent="0.3">
      <c r="A16" s="663"/>
      <c r="B16" s="663"/>
      <c r="C16" s="663"/>
      <c r="D16" s="663"/>
      <c r="E16" s="663"/>
      <c r="F16" s="665"/>
      <c r="G16" s="666"/>
      <c r="H16" s="666"/>
      <c r="I16" s="666"/>
      <c r="J16" s="666"/>
      <c r="K16" s="665"/>
      <c r="L16" s="666"/>
      <c r="M16" s="666"/>
      <c r="N16" s="666"/>
      <c r="O16" s="666"/>
      <c r="P16" s="669"/>
      <c r="Q16" s="669"/>
      <c r="R16" s="669"/>
      <c r="S16" s="669"/>
      <c r="T16" s="669"/>
      <c r="U16" s="667"/>
      <c r="V16" s="668"/>
      <c r="W16" s="668"/>
      <c r="X16" s="668"/>
      <c r="Y16" s="668"/>
      <c r="Z16" s="664"/>
      <c r="AA16" s="664"/>
      <c r="AB16" s="664"/>
      <c r="AC16" s="664"/>
      <c r="AD16" s="664"/>
      <c r="AE16" s="664"/>
      <c r="AF16" s="664"/>
      <c r="AG16" s="664"/>
      <c r="AH16" s="664"/>
      <c r="AI16" s="664"/>
      <c r="AJ16" s="664"/>
    </row>
    <row r="17" spans="1:39" ht="24.9" customHeight="1" x14ac:dyDescent="0.3">
      <c r="A17" s="105"/>
      <c r="B17" s="105"/>
      <c r="C17" s="105"/>
      <c r="D17" s="105"/>
      <c r="E17" s="105"/>
      <c r="F17" s="665"/>
      <c r="G17" s="666"/>
      <c r="H17" s="666"/>
      <c r="I17" s="666"/>
      <c r="J17" s="666"/>
      <c r="K17" s="665"/>
      <c r="L17" s="666"/>
      <c r="M17" s="666"/>
      <c r="N17" s="666"/>
      <c r="O17" s="666"/>
      <c r="P17" s="669"/>
      <c r="Q17" s="669"/>
      <c r="R17" s="669"/>
      <c r="S17" s="669"/>
      <c r="T17" s="669"/>
      <c r="U17" s="667"/>
      <c r="V17" s="668"/>
      <c r="W17" s="668"/>
      <c r="X17" s="668"/>
      <c r="Y17" s="668"/>
      <c r="Z17" s="664"/>
      <c r="AA17" s="664"/>
      <c r="AB17" s="664"/>
      <c r="AC17" s="664"/>
      <c r="AD17" s="664"/>
      <c r="AE17" s="664"/>
      <c r="AF17" s="664"/>
      <c r="AG17" s="664"/>
      <c r="AH17" s="664"/>
      <c r="AI17" s="664"/>
      <c r="AJ17" s="664"/>
      <c r="AK17" s="106"/>
      <c r="AL17" s="106"/>
      <c r="AM17" s="106"/>
    </row>
    <row r="18" spans="1:39" ht="24.9" customHeight="1" x14ac:dyDescent="0.3">
      <c r="A18" s="663"/>
      <c r="B18" s="663"/>
      <c r="C18" s="663"/>
      <c r="D18" s="663"/>
      <c r="E18" s="663"/>
      <c r="F18" s="665"/>
      <c r="G18" s="666"/>
      <c r="H18" s="666"/>
      <c r="I18" s="666"/>
      <c r="J18" s="666"/>
      <c r="K18" s="665"/>
      <c r="L18" s="666"/>
      <c r="M18" s="666"/>
      <c r="N18" s="666"/>
      <c r="O18" s="666"/>
      <c r="P18" s="669"/>
      <c r="Q18" s="669"/>
      <c r="R18" s="669"/>
      <c r="S18" s="669"/>
      <c r="T18" s="669"/>
      <c r="U18" s="667"/>
      <c r="V18" s="668"/>
      <c r="W18" s="668"/>
      <c r="X18" s="668"/>
      <c r="Y18" s="668"/>
      <c r="Z18" s="664"/>
      <c r="AA18" s="664"/>
      <c r="AB18" s="664"/>
      <c r="AC18" s="664"/>
      <c r="AD18" s="664"/>
      <c r="AE18" s="664"/>
      <c r="AF18" s="664"/>
      <c r="AG18" s="664"/>
      <c r="AH18" s="664"/>
      <c r="AI18" s="664"/>
      <c r="AJ18" s="664"/>
      <c r="AK18" s="107"/>
      <c r="AL18" s="108"/>
      <c r="AM18" s="108"/>
    </row>
    <row r="19" spans="1:39" ht="24.9" customHeight="1" x14ac:dyDescent="0.3">
      <c r="A19" s="663"/>
      <c r="B19" s="664"/>
      <c r="C19" s="664"/>
      <c r="D19" s="664"/>
      <c r="E19" s="664"/>
      <c r="F19" s="665"/>
      <c r="G19" s="665"/>
      <c r="H19" s="665"/>
      <c r="I19" s="665"/>
      <c r="J19" s="665"/>
      <c r="K19" s="665"/>
      <c r="L19" s="666"/>
      <c r="M19" s="666"/>
      <c r="N19" s="666"/>
      <c r="O19" s="666"/>
      <c r="P19" s="669"/>
      <c r="Q19" s="669"/>
      <c r="R19" s="669"/>
      <c r="S19" s="669"/>
      <c r="T19" s="669"/>
      <c r="U19" s="667"/>
      <c r="V19" s="668"/>
      <c r="W19" s="668"/>
      <c r="X19" s="668"/>
      <c r="Y19" s="668"/>
      <c r="Z19" s="664"/>
      <c r="AA19" s="664"/>
      <c r="AB19" s="664"/>
      <c r="AC19" s="664"/>
      <c r="AD19" s="664"/>
      <c r="AE19" s="664"/>
      <c r="AF19" s="664"/>
      <c r="AG19" s="664"/>
      <c r="AH19" s="664"/>
      <c r="AI19" s="664"/>
      <c r="AJ19" s="664"/>
      <c r="AK19" s="107"/>
      <c r="AL19" s="108"/>
      <c r="AM19" s="108"/>
    </row>
    <row r="20" spans="1:39" ht="17.100000000000001" customHeight="1" x14ac:dyDescent="0.3">
      <c r="A20" s="663"/>
      <c r="B20" s="664"/>
      <c r="C20" s="664"/>
      <c r="D20" s="664"/>
      <c r="E20" s="664"/>
      <c r="G20" s="109"/>
      <c r="H20" s="109"/>
      <c r="I20" s="104"/>
      <c r="J20" s="104"/>
      <c r="S20" s="106"/>
      <c r="T20" s="106"/>
      <c r="U20" s="106"/>
      <c r="V20" s="106"/>
      <c r="W20" s="106"/>
      <c r="X20" s="110"/>
      <c r="AI20" s="107"/>
      <c r="AJ20" s="107"/>
      <c r="AK20" s="107"/>
      <c r="AL20" s="108"/>
      <c r="AM20" s="108"/>
    </row>
    <row r="21" spans="1:39" ht="17.100000000000001" customHeight="1" x14ac:dyDescent="0.25">
      <c r="G21" s="109"/>
      <c r="H21" s="109"/>
      <c r="I21" s="104"/>
      <c r="J21" s="104"/>
      <c r="S21" s="106"/>
      <c r="T21" s="106"/>
      <c r="U21" s="106"/>
      <c r="V21" s="106"/>
      <c r="W21" s="106"/>
      <c r="X21" s="110"/>
      <c r="AI21" s="107"/>
      <c r="AJ21" s="107"/>
      <c r="AK21" s="107"/>
      <c r="AL21" s="108"/>
      <c r="AM21" s="108"/>
    </row>
    <row r="22" spans="1:39" ht="17.100000000000001" customHeight="1" x14ac:dyDescent="0.25">
      <c r="G22" s="111"/>
      <c r="H22" s="111"/>
      <c r="I22" s="111"/>
      <c r="J22" s="111"/>
      <c r="S22" s="106"/>
      <c r="T22" s="106"/>
      <c r="U22" s="106"/>
      <c r="V22" s="106"/>
      <c r="W22" s="106"/>
      <c r="X22" s="110"/>
    </row>
    <row r="23" spans="1:39" ht="17.100000000000001" customHeight="1" x14ac:dyDescent="0.3">
      <c r="F23" s="112"/>
      <c r="G23" s="111"/>
      <c r="H23" s="111"/>
      <c r="I23" s="111"/>
      <c r="J23" s="111"/>
      <c r="S23" s="106"/>
      <c r="T23" s="106"/>
      <c r="U23" s="106"/>
      <c r="V23" s="106"/>
      <c r="W23" s="106"/>
      <c r="X23" s="110"/>
      <c r="AC23" s="113"/>
    </row>
    <row r="24" spans="1:39" ht="17.100000000000001" customHeight="1" x14ac:dyDescent="0.25">
      <c r="E24" s="114"/>
      <c r="G24" s="115"/>
      <c r="H24" s="115"/>
      <c r="I24" s="104"/>
      <c r="J24" s="104"/>
      <c r="K24" s="116"/>
      <c r="L24" s="117"/>
      <c r="M24" s="117"/>
      <c r="S24" s="106"/>
      <c r="T24" s="106"/>
      <c r="U24" s="106"/>
      <c r="V24" s="106"/>
      <c r="W24" s="106"/>
      <c r="X24" s="110"/>
      <c r="AF24" s="118"/>
      <c r="AG24" s="118"/>
      <c r="AH24" s="118"/>
      <c r="AI24" s="119"/>
      <c r="AJ24" s="119"/>
      <c r="AK24" s="107"/>
      <c r="AL24" s="107"/>
    </row>
    <row r="25" spans="1:39" ht="17.100000000000001" customHeight="1" x14ac:dyDescent="0.3">
      <c r="A25" s="97"/>
      <c r="B25" s="97"/>
      <c r="C25" s="97"/>
      <c r="G25" s="115"/>
      <c r="H25" s="115"/>
      <c r="I25" s="104"/>
      <c r="J25" s="104"/>
      <c r="S25" s="106"/>
      <c r="T25" s="106"/>
      <c r="U25" s="106"/>
      <c r="V25" s="106"/>
      <c r="W25" s="106"/>
      <c r="X25" s="110"/>
      <c r="AF25" s="118"/>
      <c r="AG25" s="118"/>
      <c r="AH25" s="118"/>
      <c r="AI25" s="119"/>
      <c r="AJ25" s="119"/>
      <c r="AK25" s="107"/>
      <c r="AL25" s="107"/>
    </row>
    <row r="26" spans="1:39" ht="17.100000000000001" customHeight="1" x14ac:dyDescent="0.25">
      <c r="G26" s="115"/>
      <c r="H26" s="115"/>
      <c r="I26" s="104"/>
      <c r="J26" s="104"/>
      <c r="S26" s="106"/>
      <c r="T26" s="106"/>
      <c r="U26" s="106"/>
      <c r="V26" s="106"/>
      <c r="W26" s="106"/>
      <c r="X26" s="110"/>
      <c r="AF26" s="118"/>
      <c r="AG26" s="118"/>
      <c r="AH26" s="118"/>
      <c r="AI26" s="119"/>
      <c r="AJ26" s="119"/>
      <c r="AK26" s="107"/>
      <c r="AL26" s="107"/>
    </row>
    <row r="27" spans="1:39" ht="17.100000000000001" customHeight="1" x14ac:dyDescent="0.25">
      <c r="F27" s="112"/>
      <c r="G27" s="115"/>
      <c r="H27" s="115"/>
      <c r="I27" s="104"/>
      <c r="J27" s="104"/>
      <c r="K27" s="116"/>
      <c r="L27" s="117"/>
      <c r="M27" s="117"/>
      <c r="S27" s="106"/>
      <c r="T27" s="106"/>
      <c r="U27" s="106"/>
      <c r="V27" s="106"/>
      <c r="W27" s="106"/>
      <c r="X27" s="110"/>
    </row>
    <row r="28" spans="1:39" ht="17.100000000000001" customHeight="1" x14ac:dyDescent="0.3">
      <c r="A28" s="97"/>
      <c r="B28" s="97"/>
      <c r="C28" s="97"/>
      <c r="E28" s="114"/>
      <c r="AD28" s="119"/>
      <c r="AE28" s="119"/>
      <c r="AF28" s="119"/>
      <c r="AK28" s="120"/>
      <c r="AL28" s="107"/>
      <c r="AM28" s="107"/>
    </row>
    <row r="29" spans="1:39" ht="17.100000000000001" customHeight="1" x14ac:dyDescent="0.3">
      <c r="A29" s="113"/>
      <c r="Y29" s="120"/>
      <c r="Z29" s="120"/>
      <c r="AA29" s="120"/>
      <c r="AD29" s="119"/>
      <c r="AE29" s="119"/>
      <c r="AG29" s="120"/>
      <c r="AH29" s="120"/>
      <c r="AJ29" s="121"/>
      <c r="AK29" s="120"/>
      <c r="AL29" s="121"/>
      <c r="AM29" s="121"/>
    </row>
    <row r="30" spans="1:39" ht="17.100000000000001" customHeight="1" x14ac:dyDescent="0.3">
      <c r="A30" s="113"/>
    </row>
    <row r="31" spans="1:39" ht="17.100000000000001" customHeight="1" x14ac:dyDescent="0.3">
      <c r="G31" s="97"/>
      <c r="H31" s="97"/>
      <c r="I31" s="97"/>
      <c r="J31" s="122"/>
      <c r="K31" s="122"/>
      <c r="L31" s="122"/>
    </row>
    <row r="32" spans="1:39" ht="17.100000000000001" customHeight="1" x14ac:dyDescent="0.3">
      <c r="A32" s="113"/>
      <c r="O32" s="123"/>
      <c r="Q32" s="123"/>
      <c r="S32" s="123"/>
      <c r="U32" s="123"/>
      <c r="V32" s="123"/>
      <c r="W32" s="123"/>
      <c r="Y32" s="123"/>
      <c r="AA32" s="123"/>
      <c r="AC32" s="123"/>
      <c r="AE32" s="123"/>
      <c r="AG32" s="123"/>
    </row>
    <row r="33" spans="1:40" ht="17.100000000000001" customHeight="1" x14ac:dyDescent="0.25">
      <c r="G33" s="123"/>
    </row>
    <row r="34" spans="1:40" ht="17.100000000000001" customHeight="1" x14ac:dyDescent="0.3">
      <c r="G34" s="97"/>
      <c r="H34" s="97"/>
      <c r="I34" s="97"/>
      <c r="J34" s="122"/>
      <c r="K34" s="122"/>
      <c r="L34" s="122"/>
    </row>
    <row r="35" spans="1:40" ht="17.100000000000001" customHeight="1" x14ac:dyDescent="0.3">
      <c r="A35" s="113"/>
    </row>
    <row r="36" spans="1:40" ht="17.100000000000001" customHeight="1" x14ac:dyDescent="0.25"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</row>
    <row r="37" spans="1:40" ht="17.100000000000001" customHeight="1" x14ac:dyDescent="0.25">
      <c r="A37" s="123"/>
      <c r="B37" s="123"/>
      <c r="C37" s="123"/>
      <c r="D37" s="123"/>
      <c r="E37" s="123"/>
      <c r="AM37" s="123"/>
      <c r="AN37" s="123"/>
    </row>
    <row r="38" spans="1:40" ht="17.100000000000001" customHeight="1" x14ac:dyDescent="0.25"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</row>
    <row r="39" spans="1:40" ht="17.100000000000001" customHeight="1" x14ac:dyDescent="0.25">
      <c r="A39" s="123"/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</row>
    <row r="40" spans="1:40" ht="17.100000000000001" customHeight="1" x14ac:dyDescent="0.3">
      <c r="A40" s="123"/>
      <c r="B40" s="123"/>
      <c r="C40" s="123"/>
      <c r="D40" s="123"/>
      <c r="E40" s="123"/>
      <c r="G40" s="97"/>
      <c r="H40" s="97"/>
      <c r="I40" s="97"/>
      <c r="J40" s="122"/>
      <c r="K40" s="122"/>
      <c r="L40" s="122"/>
    </row>
    <row r="41" spans="1:40" ht="17.100000000000001" customHeight="1" x14ac:dyDescent="0.3">
      <c r="A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</row>
    <row r="42" spans="1:40" ht="17.100000000000001" customHeight="1" x14ac:dyDescent="0.3">
      <c r="A42" s="97"/>
      <c r="B42" s="97"/>
      <c r="C42" s="97"/>
      <c r="D42" s="97"/>
      <c r="E42" s="97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</row>
    <row r="43" spans="1:40" ht="17.100000000000001" customHeight="1" x14ac:dyDescent="0.3">
      <c r="A43" s="123"/>
      <c r="B43" s="123"/>
      <c r="C43" s="123"/>
      <c r="D43" s="123"/>
      <c r="E43" s="123"/>
      <c r="G43" s="97"/>
      <c r="H43" s="97"/>
      <c r="I43" s="97"/>
      <c r="J43" s="122"/>
      <c r="K43" s="122"/>
      <c r="L43" s="122"/>
    </row>
    <row r="44" spans="1:40" ht="17.100000000000001" customHeight="1" x14ac:dyDescent="0.3">
      <c r="A44" s="97"/>
      <c r="F44" s="124"/>
      <c r="G44" s="124"/>
      <c r="H44" s="100"/>
      <c r="AE44" s="120"/>
      <c r="AF44" s="120"/>
      <c r="AJ44" s="124"/>
      <c r="AK44" s="124"/>
      <c r="AL44" s="100"/>
    </row>
    <row r="45" spans="1:40" ht="17.100000000000001" customHeight="1" x14ac:dyDescent="0.25">
      <c r="F45" s="124"/>
      <c r="G45" s="124"/>
      <c r="H45" s="100"/>
      <c r="AE45" s="120"/>
      <c r="AF45" s="120"/>
      <c r="AJ45" s="124"/>
      <c r="AK45" s="124"/>
      <c r="AL45" s="100"/>
    </row>
    <row r="46" spans="1:40" ht="17.100000000000001" customHeight="1" x14ac:dyDescent="0.25">
      <c r="F46" s="124"/>
      <c r="G46" s="124"/>
      <c r="H46" s="100"/>
      <c r="AE46" s="120"/>
      <c r="AF46" s="120"/>
      <c r="AJ46" s="124"/>
      <c r="AK46" s="124"/>
      <c r="AL46" s="100"/>
    </row>
    <row r="47" spans="1:40" ht="17.100000000000001" customHeight="1" x14ac:dyDescent="0.25">
      <c r="F47" s="124"/>
      <c r="G47" s="124"/>
      <c r="H47" s="100"/>
      <c r="AE47" s="120"/>
      <c r="AF47" s="120"/>
      <c r="AJ47" s="124"/>
      <c r="AK47" s="124"/>
      <c r="AL47" s="100"/>
    </row>
    <row r="49" spans="1:38" ht="17.100000000000001" customHeight="1" x14ac:dyDescent="0.25"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</row>
    <row r="50" spans="1:38" ht="17.100000000000001" customHeight="1" x14ac:dyDescent="0.3">
      <c r="A50" s="123"/>
      <c r="B50" s="123"/>
      <c r="C50" s="123"/>
      <c r="D50" s="123"/>
      <c r="E50" s="123"/>
      <c r="G50" s="97"/>
      <c r="H50" s="97"/>
      <c r="I50" s="97"/>
      <c r="J50" s="122"/>
      <c r="K50" s="122"/>
      <c r="L50" s="122"/>
    </row>
    <row r="51" spans="1:38" ht="17.100000000000001" customHeight="1" x14ac:dyDescent="0.3">
      <c r="A51" s="97"/>
      <c r="F51" s="124"/>
      <c r="G51" s="124"/>
      <c r="H51" s="100"/>
      <c r="AE51" s="120"/>
      <c r="AF51" s="120"/>
      <c r="AJ51" s="124"/>
      <c r="AK51" s="124"/>
      <c r="AL51" s="100"/>
    </row>
    <row r="52" spans="1:38" ht="17.100000000000001" customHeight="1" x14ac:dyDescent="0.25">
      <c r="F52" s="124"/>
      <c r="G52" s="124"/>
      <c r="H52" s="100"/>
      <c r="AE52" s="120"/>
      <c r="AF52" s="120"/>
      <c r="AJ52" s="124"/>
      <c r="AK52" s="124"/>
      <c r="AL52" s="100"/>
    </row>
    <row r="53" spans="1:38" ht="17.100000000000001" customHeight="1" x14ac:dyDescent="0.25">
      <c r="F53" s="124"/>
      <c r="G53" s="124"/>
      <c r="H53" s="100"/>
      <c r="AE53" s="120"/>
      <c r="AF53" s="120"/>
      <c r="AJ53" s="124"/>
      <c r="AK53" s="124"/>
      <c r="AL53" s="100"/>
    </row>
    <row r="60" spans="1:38" ht="17.100000000000001" customHeight="1" x14ac:dyDescent="0.3">
      <c r="A60" s="97"/>
    </row>
    <row r="100" spans="1:3" ht="17.100000000000001" customHeight="1" x14ac:dyDescent="0.25">
      <c r="A100" s="307" t="str">
        <f>IF(Sprache="English","thermal image",IF(Sprache="Deutsch","Wärmebild",""))</f>
        <v>Wärmebild</v>
      </c>
      <c r="B100" s="310" t="str">
        <f>A100</f>
        <v>Wärmebild</v>
      </c>
      <c r="C100" s="310"/>
    </row>
  </sheetData>
  <sheetProtection sheet="1" scenarios="1" formatCells="0" formatColumns="0" formatRows="0" insertRows="0" insertHyperlinks="0" deleteRows="0" selectLockedCells="1"/>
  <mergeCells count="98">
    <mergeCell ref="Z19:AJ19"/>
    <mergeCell ref="F5:J5"/>
    <mergeCell ref="Z13:AJ13"/>
    <mergeCell ref="Z14:AJ14"/>
    <mergeCell ref="Z15:AJ15"/>
    <mergeCell ref="Z16:AJ16"/>
    <mergeCell ref="U19:Y19"/>
    <mergeCell ref="Z5:AJ5"/>
    <mergeCell ref="Z6:AJ6"/>
    <mergeCell ref="Z17:AJ17"/>
    <mergeCell ref="U5:Y5"/>
    <mergeCell ref="U6:Y6"/>
    <mergeCell ref="U7:Y7"/>
    <mergeCell ref="U10:Y10"/>
    <mergeCell ref="Z7:AJ7"/>
    <mergeCell ref="Z8:AJ8"/>
    <mergeCell ref="Z9:AJ9"/>
    <mergeCell ref="U15:Y15"/>
    <mergeCell ref="Z18:AJ18"/>
    <mergeCell ref="U16:Y16"/>
    <mergeCell ref="Z10:AJ10"/>
    <mergeCell ref="Z11:AJ11"/>
    <mergeCell ref="Z12:AJ12"/>
    <mergeCell ref="U17:Y17"/>
    <mergeCell ref="U8:Y8"/>
    <mergeCell ref="U9:Y9"/>
    <mergeCell ref="P11:T11"/>
    <mergeCell ref="P12:T12"/>
    <mergeCell ref="U11:Y11"/>
    <mergeCell ref="U12:Y12"/>
    <mergeCell ref="P13:T13"/>
    <mergeCell ref="P14:T14"/>
    <mergeCell ref="K11:O11"/>
    <mergeCell ref="K12:O12"/>
    <mergeCell ref="P19:T19"/>
    <mergeCell ref="P15:T15"/>
    <mergeCell ref="K17:O17"/>
    <mergeCell ref="K16:O16"/>
    <mergeCell ref="K18:O18"/>
    <mergeCell ref="P6:T6"/>
    <mergeCell ref="P7:T7"/>
    <mergeCell ref="P10:T10"/>
    <mergeCell ref="P8:T8"/>
    <mergeCell ref="P9:T9"/>
    <mergeCell ref="F10:J10"/>
    <mergeCell ref="F11:J11"/>
    <mergeCell ref="F12:J12"/>
    <mergeCell ref="F16:J16"/>
    <mergeCell ref="F14:J14"/>
    <mergeCell ref="F6:J6"/>
    <mergeCell ref="F7:J7"/>
    <mergeCell ref="F8:J8"/>
    <mergeCell ref="F9:J9"/>
    <mergeCell ref="U18:Y18"/>
    <mergeCell ref="U14:Y14"/>
    <mergeCell ref="U13:Y13"/>
    <mergeCell ref="P16:T16"/>
    <mergeCell ref="P17:T17"/>
    <mergeCell ref="P18:T18"/>
    <mergeCell ref="K6:O6"/>
    <mergeCell ref="K7:O7"/>
    <mergeCell ref="K10:O10"/>
    <mergeCell ref="K8:O8"/>
    <mergeCell ref="K9:O9"/>
    <mergeCell ref="K13:O13"/>
    <mergeCell ref="A18:E18"/>
    <mergeCell ref="A19:E19"/>
    <mergeCell ref="A20:E20"/>
    <mergeCell ref="A13:E13"/>
    <mergeCell ref="A14:E14"/>
    <mergeCell ref="A15:E15"/>
    <mergeCell ref="A16:E16"/>
    <mergeCell ref="F19:J19"/>
    <mergeCell ref="K14:O14"/>
    <mergeCell ref="K15:O15"/>
    <mergeCell ref="F13:J13"/>
    <mergeCell ref="F15:J15"/>
    <mergeCell ref="F17:J17"/>
    <mergeCell ref="F18:J18"/>
    <mergeCell ref="K19:O19"/>
    <mergeCell ref="A9:E9"/>
    <mergeCell ref="A10:E10"/>
    <mergeCell ref="A11:E11"/>
    <mergeCell ref="A12:E12"/>
    <mergeCell ref="A6:E6"/>
    <mergeCell ref="A7:E7"/>
    <mergeCell ref="A8:E8"/>
    <mergeCell ref="A5:E5"/>
    <mergeCell ref="A3:AJ3"/>
    <mergeCell ref="P1:U1"/>
    <mergeCell ref="AA1:AD1"/>
    <mergeCell ref="V1:Z1"/>
    <mergeCell ref="K5:O5"/>
    <mergeCell ref="P5:T5"/>
    <mergeCell ref="AF1:AJ1"/>
    <mergeCell ref="I1:O1"/>
    <mergeCell ref="A1:C1"/>
    <mergeCell ref="D1:H1"/>
  </mergeCells>
  <phoneticPr fontId="0" type="noConversion"/>
  <pageMargins left="0.78740157480314965" right="0.27559055118110237" top="0.98425196850393704" bottom="0.6692913385826772" header="0.31496062992125984" footer="0.27559055118110237"/>
  <pageSetup paperSize="9" scale="40" orientation="portrait" r:id="rId1"/>
  <headerFooter alignWithMargins="0">
    <oddHeader>&amp;R&amp;G&amp;L&amp;"Arial,Bold"&amp;22Produktion&amp;C&amp;"Arial,Bold"&amp;26Wärmebild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">
    <pageSetUpPr fitToPage="1"/>
  </sheetPr>
  <dimension ref="A1:AN100"/>
  <sheetViews>
    <sheetView showGridLines="0" view="pageLayout" zoomScale="85" zoomScaleNormal="100" zoomScalePageLayoutView="85" workbookViewId="0">
      <selection activeCell="D6" sqref="D6:H6"/>
    </sheetView>
  </sheetViews>
  <sheetFormatPr defaultColWidth="3.6640625" defaultRowHeight="17.100000000000001" customHeight="1" x14ac:dyDescent="0.25"/>
  <cols>
    <col min="1" max="16384" width="3.6640625" style="4"/>
  </cols>
  <sheetData>
    <row r="1" spans="1:37" s="30" customFormat="1" ht="33.75" customHeight="1" thickTop="1" thickBot="1" x14ac:dyDescent="0.3">
      <c r="A1" s="691" t="s">
        <v>1</v>
      </c>
      <c r="B1" s="689"/>
      <c r="C1" s="689"/>
      <c r="D1" s="692">
        <f>Infos!D4</f>
        <v>0</v>
      </c>
      <c r="E1" s="693"/>
      <c r="F1" s="693"/>
      <c r="G1" s="693"/>
      <c r="H1" s="694"/>
      <c r="I1" s="689" t="str">
        <f>IF(Sprache="English","order number",IF(Sprache="Deutsch","Auftragsnummer",""))</f>
        <v>Auftragsnummer</v>
      </c>
      <c r="J1" s="689"/>
      <c r="K1" s="689"/>
      <c r="L1" s="689"/>
      <c r="M1" s="689"/>
      <c r="N1" s="689"/>
      <c r="O1" s="690"/>
      <c r="P1" s="627">
        <f>Infos!B4</f>
        <v>0</v>
      </c>
      <c r="Q1" s="628"/>
      <c r="R1" s="628"/>
      <c r="S1" s="628"/>
      <c r="T1" s="628"/>
      <c r="U1" s="635"/>
      <c r="V1" s="639" t="str">
        <f>IF(Sprache="English","date/name",IF(Sprache="Deutsch","Datum/Name",""))</f>
        <v>Datum/Name</v>
      </c>
      <c r="W1" s="639"/>
      <c r="X1" s="639"/>
      <c r="Y1" s="639"/>
      <c r="Z1" s="639"/>
      <c r="AA1" s="636" t="str">
        <f>TEXT(Infos!$B$6, "TT-MMM-JJJJ")</f>
        <v>00-Jan-1900</v>
      </c>
      <c r="AB1" s="637"/>
      <c r="AC1" s="637"/>
      <c r="AD1" s="637"/>
      <c r="AE1" s="95"/>
      <c r="AF1" s="628">
        <f>Infos!D5</f>
        <v>0</v>
      </c>
      <c r="AG1" s="628"/>
      <c r="AH1" s="628"/>
      <c r="AI1" s="628"/>
      <c r="AJ1" s="633"/>
    </row>
    <row r="2" spans="1:37" ht="7.5" customHeight="1" thickTop="1" x14ac:dyDescent="0.3">
      <c r="A2" s="10"/>
      <c r="T2" s="10"/>
      <c r="AE2" s="21"/>
      <c r="AF2" s="22"/>
      <c r="AG2" s="22"/>
    </row>
    <row r="3" spans="1:37" ht="27.75" customHeight="1" x14ac:dyDescent="0.25">
      <c r="A3" s="634"/>
      <c r="B3" s="634"/>
      <c r="C3" s="634"/>
      <c r="D3" s="634"/>
      <c r="E3" s="634"/>
      <c r="F3" s="634"/>
      <c r="G3" s="634"/>
      <c r="H3" s="634"/>
      <c r="I3" s="634"/>
      <c r="J3" s="634"/>
      <c r="K3" s="634"/>
      <c r="L3" s="634"/>
      <c r="M3" s="634"/>
      <c r="N3" s="634"/>
      <c r="O3" s="634"/>
      <c r="P3" s="634"/>
      <c r="Q3" s="634"/>
      <c r="R3" s="634"/>
      <c r="S3" s="634"/>
      <c r="T3" s="634"/>
      <c r="U3" s="634"/>
      <c r="V3" s="634"/>
      <c r="W3" s="634"/>
      <c r="X3" s="634"/>
      <c r="Y3" s="634"/>
      <c r="Z3" s="634"/>
      <c r="AA3" s="634"/>
      <c r="AB3" s="634"/>
      <c r="AC3" s="634"/>
      <c r="AD3" s="634"/>
      <c r="AE3" s="634"/>
      <c r="AF3" s="634"/>
      <c r="AG3" s="634"/>
      <c r="AH3" s="634"/>
      <c r="AI3" s="634"/>
      <c r="AJ3" s="634"/>
    </row>
    <row r="4" spans="1:37" ht="6" customHeight="1" thickBot="1" x14ac:dyDescent="0.3"/>
    <row r="5" spans="1:37" ht="33" customHeight="1" thickBot="1" x14ac:dyDescent="0.3">
      <c r="A5" s="695" t="str">
        <f>IF(Sprache="English","trial N°",IF(Sprache="Deutsch","Versuch Nr.",""))</f>
        <v>Versuch Nr.</v>
      </c>
      <c r="B5" s="696"/>
      <c r="C5" s="697"/>
      <c r="D5" s="705" t="str">
        <f>IF(Sprache="English","holding pressure",IF(Sprache="Deutsch","Nachdruck",""))</f>
        <v>Nachdruck</v>
      </c>
      <c r="E5" s="696"/>
      <c r="F5" s="696"/>
      <c r="G5" s="696"/>
      <c r="H5" s="696"/>
      <c r="I5" s="696" t="str">
        <f>IF(Sprache="English","holding pressure time",IF(Sprache="Deutsch","Nachdruckzeit",""))</f>
        <v>Nachdruckzeit</v>
      </c>
      <c r="J5" s="696"/>
      <c r="K5" s="696"/>
      <c r="L5" s="696"/>
      <c r="M5" s="696"/>
      <c r="N5" s="696"/>
      <c r="O5" s="696"/>
      <c r="P5" s="685" t="str">
        <f>IF(Sprache="English","weight (no sprue)",IF(Sprache="Deutsch","Gewicht ohne Anguss",""))</f>
        <v>Gewicht ohne Anguss</v>
      </c>
      <c r="Q5" s="686"/>
      <c r="R5" s="686"/>
      <c r="S5" s="686"/>
      <c r="T5" s="687"/>
      <c r="U5" s="696" t="str">
        <f>IF(Sprache="English","cooling time",IF(Sprache="Deutsch","Restkühlzeit",""))</f>
        <v>Restkühlzeit</v>
      </c>
      <c r="V5" s="701"/>
      <c r="W5" s="701"/>
      <c r="X5" s="701"/>
      <c r="Y5" s="701"/>
      <c r="Z5" s="696" t="str">
        <f>IF(Sprache="English","remarks",IF(Sprache="Deutsch","Bemerkungen",""))</f>
        <v>Bemerkungen</v>
      </c>
      <c r="AA5" s="696"/>
      <c r="AB5" s="696"/>
      <c r="AC5" s="696"/>
      <c r="AD5" s="696"/>
      <c r="AE5" s="696"/>
      <c r="AF5" s="696"/>
      <c r="AG5" s="696"/>
      <c r="AH5" s="696"/>
      <c r="AI5" s="696"/>
      <c r="AJ5" s="697"/>
    </row>
    <row r="6" spans="1:37" ht="24.9" customHeight="1" x14ac:dyDescent="0.25">
      <c r="A6" s="698">
        <v>1</v>
      </c>
      <c r="B6" s="699"/>
      <c r="C6" s="700"/>
      <c r="D6" s="706"/>
      <c r="E6" s="707"/>
      <c r="F6" s="707"/>
      <c r="G6" s="707"/>
      <c r="H6" s="707"/>
      <c r="I6" s="707"/>
      <c r="J6" s="707"/>
      <c r="K6" s="707"/>
      <c r="L6" s="707"/>
      <c r="M6" s="707"/>
      <c r="N6" s="707"/>
      <c r="O6" s="707"/>
      <c r="P6" s="688"/>
      <c r="Q6" s="688"/>
      <c r="R6" s="688"/>
      <c r="S6" s="688"/>
      <c r="T6" s="688"/>
      <c r="U6" s="702"/>
      <c r="V6" s="703"/>
      <c r="W6" s="703"/>
      <c r="X6" s="703"/>
      <c r="Y6" s="703"/>
      <c r="Z6" s="703"/>
      <c r="AA6" s="703"/>
      <c r="AB6" s="703"/>
      <c r="AC6" s="703"/>
      <c r="AD6" s="703"/>
      <c r="AE6" s="703"/>
      <c r="AF6" s="703"/>
      <c r="AG6" s="703"/>
      <c r="AH6" s="703"/>
      <c r="AI6" s="703"/>
      <c r="AJ6" s="704"/>
    </row>
    <row r="7" spans="1:37" ht="24.9" customHeight="1" x14ac:dyDescent="0.25">
      <c r="A7" s="677">
        <v>2</v>
      </c>
      <c r="B7" s="678"/>
      <c r="C7" s="679"/>
      <c r="D7" s="684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0"/>
      <c r="P7" s="672"/>
      <c r="Q7" s="672"/>
      <c r="R7" s="672"/>
      <c r="S7" s="672"/>
      <c r="T7" s="672"/>
      <c r="U7" s="675"/>
      <c r="V7" s="670"/>
      <c r="W7" s="670"/>
      <c r="X7" s="670"/>
      <c r="Y7" s="670"/>
      <c r="Z7" s="670"/>
      <c r="AA7" s="670"/>
      <c r="AB7" s="670"/>
      <c r="AC7" s="670"/>
      <c r="AD7" s="670"/>
      <c r="AE7" s="670"/>
      <c r="AF7" s="670"/>
      <c r="AG7" s="670"/>
      <c r="AH7" s="670"/>
      <c r="AI7" s="670"/>
      <c r="AJ7" s="671"/>
    </row>
    <row r="8" spans="1:37" ht="24.9" customHeight="1" x14ac:dyDescent="0.25">
      <c r="A8" s="677">
        <v>3</v>
      </c>
      <c r="B8" s="678"/>
      <c r="C8" s="679"/>
      <c r="D8" s="684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0"/>
      <c r="P8" s="672"/>
      <c r="Q8" s="672"/>
      <c r="R8" s="672"/>
      <c r="S8" s="672"/>
      <c r="T8" s="672"/>
      <c r="U8" s="675"/>
      <c r="V8" s="670"/>
      <c r="W8" s="670"/>
      <c r="X8" s="670"/>
      <c r="Y8" s="670"/>
      <c r="Z8" s="670"/>
      <c r="AA8" s="670"/>
      <c r="AB8" s="670"/>
      <c r="AC8" s="670"/>
      <c r="AD8" s="670"/>
      <c r="AE8" s="670"/>
      <c r="AF8" s="670"/>
      <c r="AG8" s="670"/>
      <c r="AH8" s="670"/>
      <c r="AI8" s="670"/>
      <c r="AJ8" s="671"/>
    </row>
    <row r="9" spans="1:37" ht="24.9" customHeight="1" x14ac:dyDescent="0.25">
      <c r="A9" s="677">
        <v>4</v>
      </c>
      <c r="B9" s="678"/>
      <c r="C9" s="679"/>
      <c r="D9" s="684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0"/>
      <c r="P9" s="672"/>
      <c r="Q9" s="672"/>
      <c r="R9" s="672"/>
      <c r="S9" s="672"/>
      <c r="T9" s="672"/>
      <c r="U9" s="675"/>
      <c r="V9" s="670"/>
      <c r="W9" s="670"/>
      <c r="X9" s="670"/>
      <c r="Y9" s="670"/>
      <c r="Z9" s="670"/>
      <c r="AA9" s="670"/>
      <c r="AB9" s="670"/>
      <c r="AC9" s="670"/>
      <c r="AD9" s="670"/>
      <c r="AE9" s="670"/>
      <c r="AF9" s="670"/>
      <c r="AG9" s="670"/>
      <c r="AH9" s="670"/>
      <c r="AI9" s="670"/>
      <c r="AJ9" s="671"/>
    </row>
    <row r="10" spans="1:37" ht="24.9" customHeight="1" x14ac:dyDescent="0.3">
      <c r="A10" s="677">
        <v>5</v>
      </c>
      <c r="B10" s="678"/>
      <c r="C10" s="679"/>
      <c r="D10" s="684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0"/>
      <c r="P10" s="672"/>
      <c r="Q10" s="672"/>
      <c r="R10" s="672"/>
      <c r="S10" s="672"/>
      <c r="T10" s="672"/>
      <c r="U10" s="675"/>
      <c r="V10" s="670"/>
      <c r="W10" s="670"/>
      <c r="X10" s="670"/>
      <c r="Y10" s="670"/>
      <c r="Z10" s="670"/>
      <c r="AA10" s="670"/>
      <c r="AB10" s="670"/>
      <c r="AC10" s="670"/>
      <c r="AD10" s="670"/>
      <c r="AE10" s="670"/>
      <c r="AF10" s="670"/>
      <c r="AG10" s="670"/>
      <c r="AH10" s="670"/>
      <c r="AI10" s="670"/>
      <c r="AJ10" s="671"/>
      <c r="AK10" s="23"/>
    </row>
    <row r="11" spans="1:37" ht="24.9" customHeight="1" x14ac:dyDescent="0.25">
      <c r="A11" s="677">
        <v>6</v>
      </c>
      <c r="B11" s="678"/>
      <c r="C11" s="679"/>
      <c r="D11" s="684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0"/>
      <c r="P11" s="672"/>
      <c r="Q11" s="672"/>
      <c r="R11" s="672"/>
      <c r="S11" s="672"/>
      <c r="T11" s="672"/>
      <c r="U11" s="675"/>
      <c r="V11" s="670"/>
      <c r="W11" s="670"/>
      <c r="X11" s="670"/>
      <c r="Y11" s="670"/>
      <c r="Z11" s="670"/>
      <c r="AA11" s="670"/>
      <c r="AB11" s="670"/>
      <c r="AC11" s="670"/>
      <c r="AD11" s="670"/>
      <c r="AE11" s="670"/>
      <c r="AF11" s="670"/>
      <c r="AG11" s="670"/>
      <c r="AH11" s="670"/>
      <c r="AI11" s="670"/>
      <c r="AJ11" s="671"/>
      <c r="AK11" s="15"/>
    </row>
    <row r="12" spans="1:37" ht="24.9" customHeight="1" x14ac:dyDescent="0.25">
      <c r="A12" s="677">
        <v>7</v>
      </c>
      <c r="B12" s="678"/>
      <c r="C12" s="679"/>
      <c r="D12" s="684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0"/>
      <c r="P12" s="672"/>
      <c r="Q12" s="672"/>
      <c r="R12" s="672"/>
      <c r="S12" s="672"/>
      <c r="T12" s="672"/>
      <c r="U12" s="675"/>
      <c r="V12" s="670"/>
      <c r="W12" s="670"/>
      <c r="X12" s="670"/>
      <c r="Y12" s="670"/>
      <c r="Z12" s="670"/>
      <c r="AA12" s="670"/>
      <c r="AB12" s="670"/>
      <c r="AC12" s="670"/>
      <c r="AD12" s="670"/>
      <c r="AE12" s="670"/>
      <c r="AF12" s="670"/>
      <c r="AG12" s="670"/>
      <c r="AH12" s="670"/>
      <c r="AI12" s="670"/>
      <c r="AJ12" s="671"/>
    </row>
    <row r="13" spans="1:37" ht="24.9" customHeight="1" x14ac:dyDescent="0.25">
      <c r="A13" s="677">
        <v>8</v>
      </c>
      <c r="B13" s="678"/>
      <c r="C13" s="679"/>
      <c r="D13" s="684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0"/>
      <c r="P13" s="672"/>
      <c r="Q13" s="672"/>
      <c r="R13" s="672"/>
      <c r="S13" s="672"/>
      <c r="T13" s="672"/>
      <c r="U13" s="675"/>
      <c r="V13" s="670"/>
      <c r="W13" s="670"/>
      <c r="X13" s="670"/>
      <c r="Y13" s="670"/>
      <c r="Z13" s="670"/>
      <c r="AA13" s="670"/>
      <c r="AB13" s="670"/>
      <c r="AC13" s="670"/>
      <c r="AD13" s="670"/>
      <c r="AE13" s="670"/>
      <c r="AF13" s="670"/>
      <c r="AG13" s="670"/>
      <c r="AH13" s="670"/>
      <c r="AI13" s="670"/>
      <c r="AJ13" s="671"/>
      <c r="AK13" s="15"/>
    </row>
    <row r="14" spans="1:37" ht="24.9" customHeight="1" x14ac:dyDescent="0.25">
      <c r="A14" s="677">
        <v>9</v>
      </c>
      <c r="B14" s="678"/>
      <c r="C14" s="679"/>
      <c r="D14" s="684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0"/>
      <c r="P14" s="672"/>
      <c r="Q14" s="672"/>
      <c r="R14" s="672"/>
      <c r="S14" s="672"/>
      <c r="T14" s="672"/>
      <c r="U14" s="675"/>
      <c r="V14" s="670"/>
      <c r="W14" s="670"/>
      <c r="X14" s="670"/>
      <c r="Y14" s="670"/>
      <c r="Z14" s="670"/>
      <c r="AA14" s="670"/>
      <c r="AB14" s="670"/>
      <c r="AC14" s="670"/>
      <c r="AD14" s="670"/>
      <c r="AE14" s="670"/>
      <c r="AF14" s="670"/>
      <c r="AG14" s="670"/>
      <c r="AH14" s="670"/>
      <c r="AI14" s="670"/>
      <c r="AJ14" s="671"/>
    </row>
    <row r="15" spans="1:37" ht="24.9" customHeight="1" x14ac:dyDescent="0.25">
      <c r="A15" s="677">
        <v>10</v>
      </c>
      <c r="B15" s="678"/>
      <c r="C15" s="679"/>
      <c r="D15" s="684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0"/>
      <c r="P15" s="672"/>
      <c r="Q15" s="672"/>
      <c r="R15" s="672"/>
      <c r="S15" s="672"/>
      <c r="T15" s="672"/>
      <c r="U15" s="675"/>
      <c r="V15" s="670"/>
      <c r="W15" s="670"/>
      <c r="X15" s="670"/>
      <c r="Y15" s="670"/>
      <c r="Z15" s="670"/>
      <c r="AA15" s="670"/>
      <c r="AB15" s="670"/>
      <c r="AC15" s="670"/>
      <c r="AD15" s="670"/>
      <c r="AE15" s="670"/>
      <c r="AF15" s="670"/>
      <c r="AG15" s="670"/>
      <c r="AH15" s="670"/>
      <c r="AI15" s="670"/>
      <c r="AJ15" s="671"/>
    </row>
    <row r="16" spans="1:37" ht="24.9" customHeight="1" x14ac:dyDescent="0.25">
      <c r="A16" s="677">
        <v>11</v>
      </c>
      <c r="B16" s="678"/>
      <c r="C16" s="679"/>
      <c r="D16" s="684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0"/>
      <c r="P16" s="672"/>
      <c r="Q16" s="672"/>
      <c r="R16" s="672"/>
      <c r="S16" s="672"/>
      <c r="T16" s="672"/>
      <c r="U16" s="675"/>
      <c r="V16" s="670"/>
      <c r="W16" s="670"/>
      <c r="X16" s="670"/>
      <c r="Y16" s="670"/>
      <c r="Z16" s="670"/>
      <c r="AA16" s="670"/>
      <c r="AB16" s="670"/>
      <c r="AC16" s="670"/>
      <c r="AD16" s="670"/>
      <c r="AE16" s="670"/>
      <c r="AF16" s="670"/>
      <c r="AG16" s="670"/>
      <c r="AH16" s="670"/>
      <c r="AI16" s="670"/>
      <c r="AJ16" s="671"/>
    </row>
    <row r="17" spans="1:39" ht="24.9" customHeight="1" x14ac:dyDescent="0.25">
      <c r="A17" s="677">
        <v>12</v>
      </c>
      <c r="B17" s="678"/>
      <c r="C17" s="679"/>
      <c r="D17" s="684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0"/>
      <c r="P17" s="672"/>
      <c r="Q17" s="672"/>
      <c r="R17" s="672"/>
      <c r="S17" s="672"/>
      <c r="T17" s="672"/>
      <c r="U17" s="675"/>
      <c r="V17" s="670"/>
      <c r="W17" s="670"/>
      <c r="X17" s="670"/>
      <c r="Y17" s="670"/>
      <c r="Z17" s="670"/>
      <c r="AA17" s="670"/>
      <c r="AB17" s="670"/>
      <c r="AC17" s="670"/>
      <c r="AD17" s="670"/>
      <c r="AE17" s="670"/>
      <c r="AF17" s="670"/>
      <c r="AG17" s="670"/>
      <c r="AH17" s="670"/>
      <c r="AI17" s="670"/>
      <c r="AJ17" s="671"/>
      <c r="AK17" s="18"/>
      <c r="AL17" s="18"/>
      <c r="AM17" s="18"/>
    </row>
    <row r="18" spans="1:39" ht="24.9" customHeight="1" x14ac:dyDescent="0.25">
      <c r="A18" s="677">
        <v>13</v>
      </c>
      <c r="B18" s="678"/>
      <c r="C18" s="679"/>
      <c r="D18" s="684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0"/>
      <c r="P18" s="672"/>
      <c r="Q18" s="672"/>
      <c r="R18" s="672"/>
      <c r="S18" s="672"/>
      <c r="T18" s="672"/>
      <c r="U18" s="675"/>
      <c r="V18" s="670"/>
      <c r="W18" s="670"/>
      <c r="X18" s="670"/>
      <c r="Y18" s="670"/>
      <c r="Z18" s="670"/>
      <c r="AA18" s="670"/>
      <c r="AB18" s="670"/>
      <c r="AC18" s="670"/>
      <c r="AD18" s="670"/>
      <c r="AE18" s="670"/>
      <c r="AF18" s="670"/>
      <c r="AG18" s="670"/>
      <c r="AH18" s="670"/>
      <c r="AI18" s="670"/>
      <c r="AJ18" s="671"/>
      <c r="AK18" s="7"/>
      <c r="AL18" s="24"/>
      <c r="AM18" s="24"/>
    </row>
    <row r="19" spans="1:39" ht="24.9" customHeight="1" thickBot="1" x14ac:dyDescent="0.3">
      <c r="A19" s="718">
        <v>14</v>
      </c>
      <c r="B19" s="719"/>
      <c r="C19" s="720"/>
      <c r="D19" s="717"/>
      <c r="E19" s="716"/>
      <c r="F19" s="716"/>
      <c r="G19" s="716"/>
      <c r="H19" s="716"/>
      <c r="I19" s="716"/>
      <c r="J19" s="716"/>
      <c r="K19" s="716"/>
      <c r="L19" s="716"/>
      <c r="M19" s="716"/>
      <c r="N19" s="716"/>
      <c r="O19" s="716"/>
      <c r="P19" s="681"/>
      <c r="Q19" s="681"/>
      <c r="R19" s="681"/>
      <c r="S19" s="681"/>
      <c r="T19" s="681"/>
      <c r="U19" s="673"/>
      <c r="V19" s="674"/>
      <c r="W19" s="674"/>
      <c r="X19" s="674"/>
      <c r="Y19" s="674"/>
      <c r="Z19" s="674"/>
      <c r="AA19" s="674"/>
      <c r="AB19" s="674"/>
      <c r="AC19" s="674"/>
      <c r="AD19" s="674"/>
      <c r="AE19" s="674"/>
      <c r="AF19" s="674"/>
      <c r="AG19" s="674"/>
      <c r="AH19" s="674"/>
      <c r="AI19" s="674"/>
      <c r="AJ19" s="683"/>
      <c r="AK19" s="7"/>
      <c r="AL19" s="24"/>
      <c r="AM19" s="24"/>
    </row>
    <row r="20" spans="1:39" ht="17.100000000000001" customHeight="1" x14ac:dyDescent="0.25">
      <c r="G20" s="25"/>
      <c r="H20" s="25"/>
      <c r="I20" s="15"/>
      <c r="J20" s="15"/>
      <c r="S20" s="18"/>
      <c r="T20" s="18"/>
      <c r="U20" s="18"/>
      <c r="V20" s="18"/>
      <c r="W20" s="18"/>
      <c r="X20" s="19"/>
      <c r="AI20" s="7"/>
      <c r="AJ20" s="7"/>
      <c r="AK20" s="7"/>
      <c r="AL20" s="24"/>
      <c r="AM20" s="24"/>
    </row>
    <row r="21" spans="1:39" ht="17.100000000000001" customHeight="1" x14ac:dyDescent="0.25">
      <c r="G21" s="25"/>
      <c r="H21" s="25"/>
      <c r="I21" s="15"/>
      <c r="J21" s="15"/>
      <c r="S21" s="18"/>
      <c r="T21" s="18"/>
      <c r="U21" s="18"/>
      <c r="V21" s="18"/>
      <c r="W21" s="18"/>
      <c r="X21" s="19"/>
      <c r="AI21" s="7"/>
      <c r="AJ21" s="7"/>
      <c r="AK21" s="7"/>
      <c r="AL21" s="24"/>
      <c r="AM21" s="24"/>
    </row>
    <row r="22" spans="1:39" ht="17.100000000000001" customHeight="1" x14ac:dyDescent="0.25">
      <c r="G22" s="26"/>
      <c r="H22" s="26"/>
      <c r="I22" s="26"/>
      <c r="J22" s="26"/>
      <c r="S22" s="18"/>
      <c r="T22" s="18"/>
      <c r="U22" s="18"/>
      <c r="V22" s="18"/>
      <c r="W22" s="18"/>
      <c r="X22" s="19"/>
    </row>
    <row r="23" spans="1:39" ht="17.100000000000001" customHeight="1" x14ac:dyDescent="0.3">
      <c r="E23" s="12"/>
      <c r="F23" s="13"/>
      <c r="G23" s="26"/>
      <c r="H23" s="26"/>
      <c r="I23" s="26"/>
      <c r="J23" s="26"/>
      <c r="S23" s="18"/>
      <c r="T23" s="18"/>
      <c r="U23" s="18"/>
      <c r="V23" s="18"/>
      <c r="W23" s="18"/>
      <c r="X23" s="19"/>
      <c r="AC23" s="5"/>
    </row>
    <row r="24" spans="1:39" ht="17.100000000000001" customHeight="1" x14ac:dyDescent="0.3">
      <c r="A24" s="10"/>
      <c r="B24" s="10"/>
      <c r="C24" s="10"/>
      <c r="G24" s="14"/>
      <c r="H24" s="14"/>
      <c r="I24" s="15"/>
      <c r="J24" s="15"/>
      <c r="K24" s="16"/>
      <c r="L24" s="17"/>
      <c r="M24" s="17"/>
      <c r="S24" s="18"/>
      <c r="T24" s="18"/>
      <c r="U24" s="18"/>
      <c r="V24" s="18"/>
      <c r="W24" s="18"/>
      <c r="X24" s="19"/>
      <c r="AF24" s="27"/>
      <c r="AG24" s="27"/>
      <c r="AH24" s="27"/>
      <c r="AI24" s="6"/>
      <c r="AJ24" s="6"/>
      <c r="AK24" s="7"/>
      <c r="AL24" s="7"/>
    </row>
    <row r="25" spans="1:39" ht="17.100000000000001" customHeight="1" x14ac:dyDescent="0.25">
      <c r="G25" s="14"/>
      <c r="H25" s="14"/>
      <c r="I25" s="15"/>
      <c r="J25" s="15"/>
      <c r="S25" s="18"/>
      <c r="T25" s="18"/>
      <c r="U25" s="18"/>
      <c r="V25" s="18"/>
      <c r="W25" s="18"/>
      <c r="X25" s="19"/>
      <c r="AF25" s="27"/>
      <c r="AG25" s="27"/>
      <c r="AH25" s="27"/>
      <c r="AI25" s="6"/>
      <c r="AJ25" s="6"/>
      <c r="AK25" s="7"/>
      <c r="AL25" s="7"/>
    </row>
    <row r="26" spans="1:39" ht="17.100000000000001" customHeight="1" x14ac:dyDescent="0.25">
      <c r="G26" s="14"/>
      <c r="H26" s="14"/>
      <c r="I26" s="15"/>
      <c r="J26" s="15"/>
      <c r="S26" s="18"/>
      <c r="T26" s="18"/>
      <c r="U26" s="18"/>
      <c r="V26" s="18"/>
      <c r="W26" s="18"/>
      <c r="X26" s="19"/>
      <c r="AF26" s="27"/>
      <c r="AG26" s="27"/>
      <c r="AH26" s="27"/>
      <c r="AI26" s="6"/>
      <c r="AJ26" s="6"/>
      <c r="AK26" s="7"/>
      <c r="AL26" s="7"/>
    </row>
    <row r="27" spans="1:39" ht="17.100000000000001" customHeight="1" x14ac:dyDescent="0.3">
      <c r="A27" s="10"/>
      <c r="B27" s="10"/>
      <c r="C27" s="10"/>
      <c r="E27" s="12"/>
      <c r="F27" s="13"/>
      <c r="G27" s="14"/>
      <c r="H27" s="14"/>
      <c r="I27" s="15"/>
      <c r="J27" s="15"/>
      <c r="K27" s="16"/>
      <c r="L27" s="17"/>
      <c r="M27" s="17"/>
      <c r="S27" s="18"/>
      <c r="T27" s="18"/>
      <c r="U27" s="18"/>
      <c r="V27" s="18"/>
      <c r="W27" s="18"/>
      <c r="X27" s="19"/>
    </row>
    <row r="28" spans="1:39" ht="17.100000000000001" customHeight="1" x14ac:dyDescent="0.3">
      <c r="A28" s="5"/>
      <c r="AD28" s="6"/>
      <c r="AE28" s="6"/>
      <c r="AF28" s="6"/>
      <c r="AK28" s="3"/>
      <c r="AL28" s="7"/>
      <c r="AM28" s="7"/>
    </row>
    <row r="29" spans="1:39" ht="17.100000000000001" customHeight="1" x14ac:dyDescent="0.3">
      <c r="A29" s="5"/>
      <c r="Y29" s="3"/>
      <c r="Z29" s="3"/>
      <c r="AA29" s="3"/>
      <c r="AD29" s="6"/>
      <c r="AE29" s="6"/>
      <c r="AG29" s="3"/>
      <c r="AH29" s="3"/>
      <c r="AJ29" s="8"/>
      <c r="AK29" s="3"/>
      <c r="AL29" s="8"/>
      <c r="AM29" s="8"/>
    </row>
    <row r="31" spans="1:39" ht="17.100000000000001" customHeight="1" x14ac:dyDescent="0.3">
      <c r="A31" s="5"/>
      <c r="G31" s="10"/>
      <c r="H31" s="10"/>
      <c r="I31" s="10"/>
      <c r="J31" s="11"/>
      <c r="K31" s="11"/>
      <c r="L31" s="11"/>
    </row>
    <row r="32" spans="1:39" ht="17.100000000000001" customHeight="1" x14ac:dyDescent="0.25">
      <c r="O32" s="9"/>
      <c r="Q32" s="9"/>
      <c r="S32" s="9"/>
      <c r="U32" s="9"/>
      <c r="V32" s="9"/>
      <c r="W32" s="9"/>
      <c r="Y32" s="9"/>
      <c r="AA32" s="9"/>
      <c r="AC32" s="9"/>
      <c r="AE32" s="9"/>
      <c r="AG32" s="9"/>
    </row>
    <row r="33" spans="1:40" ht="17.100000000000001" customHeight="1" x14ac:dyDescent="0.25">
      <c r="G33" s="9"/>
    </row>
    <row r="34" spans="1:40" ht="17.100000000000001" customHeight="1" x14ac:dyDescent="0.3">
      <c r="A34" s="5"/>
      <c r="G34" s="10"/>
      <c r="H34" s="10"/>
      <c r="I34" s="10"/>
      <c r="J34" s="11"/>
      <c r="K34" s="11"/>
      <c r="L34" s="11"/>
    </row>
    <row r="36" spans="1:40" ht="17.100000000000001" customHeight="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</row>
    <row r="37" spans="1:40" ht="17.100000000000001" customHeight="1" x14ac:dyDescent="0.25">
      <c r="AM37" s="9"/>
      <c r="AN37" s="9"/>
    </row>
    <row r="38" spans="1:40" ht="17.100000000000001" customHeight="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</row>
    <row r="39" spans="1:40" ht="17.100000000000001" customHeight="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</row>
    <row r="40" spans="1:40" ht="17.100000000000001" customHeight="1" x14ac:dyDescent="0.3">
      <c r="A40" s="10"/>
      <c r="G40" s="10"/>
      <c r="H40" s="10"/>
      <c r="I40" s="10"/>
      <c r="J40" s="11"/>
      <c r="K40" s="11"/>
      <c r="L40" s="11"/>
    </row>
    <row r="41" spans="1:40" ht="17.100000000000001" customHeight="1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</row>
    <row r="42" spans="1:40" ht="17.100000000000001" customHeigh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</row>
    <row r="43" spans="1:40" ht="17.100000000000001" customHeight="1" x14ac:dyDescent="0.25">
      <c r="A43" s="682" t="str">
        <f>IF(Sprache="English","result gate sealing point",IF(Sprache="Deutsch","Ergebnis Siegelpunktbestimmung",""))</f>
        <v>Ergebnis Siegelpunktbestimmung</v>
      </c>
      <c r="B43" s="682"/>
      <c r="C43" s="682"/>
      <c r="D43" s="682"/>
      <c r="E43" s="682"/>
      <c r="F43" s="682"/>
      <c r="G43" s="682"/>
      <c r="H43" s="682"/>
      <c r="I43" s="682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</row>
    <row r="44" spans="1:40" ht="4.5" customHeight="1" thickBot="1" x14ac:dyDescent="0.35">
      <c r="A44" s="10"/>
      <c r="G44" s="10"/>
      <c r="H44" s="10"/>
      <c r="I44" s="10"/>
      <c r="J44" s="11"/>
      <c r="K44" s="11"/>
      <c r="L44" s="11"/>
    </row>
    <row r="45" spans="1:40" ht="30" customHeight="1" thickTop="1" thickBot="1" x14ac:dyDescent="0.45">
      <c r="A45" s="711" t="str">
        <f>IF(Sprache="English","specific holding pressure",IF(Sprache="Deutsch","spezifischer Nachdruck bar",""))</f>
        <v>spezifischer Nachdruck bar</v>
      </c>
      <c r="B45" s="712"/>
      <c r="C45" s="712"/>
      <c r="D45" s="712"/>
      <c r="E45" s="712"/>
      <c r="F45" s="712"/>
      <c r="G45" s="712"/>
      <c r="H45" s="712"/>
      <c r="I45" s="712"/>
      <c r="J45" s="712"/>
      <c r="K45" s="712"/>
      <c r="L45" s="712"/>
      <c r="M45" s="712"/>
      <c r="N45" s="712"/>
      <c r="O45" s="708"/>
      <c r="P45" s="709"/>
      <c r="Q45" s="709"/>
      <c r="R45" s="709"/>
      <c r="S45" s="710"/>
      <c r="AJ45" s="28"/>
      <c r="AK45" s="28"/>
      <c r="AL45" s="22"/>
    </row>
    <row r="46" spans="1:40" ht="30" customHeight="1" thickTop="1" thickBot="1" x14ac:dyDescent="0.45">
      <c r="A46" s="711" t="str">
        <f>IF(Sprache="English","holding pressure time",IF(Sprache="Deutsch","Nachdruckzeit",""))</f>
        <v>Nachdruckzeit</v>
      </c>
      <c r="B46" s="712"/>
      <c r="C46" s="712"/>
      <c r="D46" s="712"/>
      <c r="E46" s="712"/>
      <c r="F46" s="712"/>
      <c r="G46" s="712"/>
      <c r="H46" s="712"/>
      <c r="I46" s="712"/>
      <c r="J46" s="712"/>
      <c r="K46" s="712"/>
      <c r="L46" s="712"/>
      <c r="M46" s="712"/>
      <c r="N46" s="712"/>
      <c r="O46" s="713"/>
      <c r="P46" s="714"/>
      <c r="Q46" s="714"/>
      <c r="R46" s="714"/>
      <c r="S46" s="715"/>
      <c r="AJ46" s="28"/>
      <c r="AK46" s="28"/>
      <c r="AL46" s="22"/>
    </row>
    <row r="47" spans="1:40" ht="17.100000000000001" customHeight="1" thickTop="1" x14ac:dyDescent="0.25">
      <c r="F47" s="28"/>
      <c r="G47" s="28"/>
      <c r="H47" s="22"/>
      <c r="AE47" s="3"/>
      <c r="AF47" s="3"/>
      <c r="AJ47" s="28"/>
      <c r="AK47" s="28"/>
      <c r="AL47" s="22"/>
    </row>
    <row r="49" spans="1:38" ht="17.100000000000001" customHeight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</row>
    <row r="50" spans="1:38" ht="17.100000000000001" customHeight="1" x14ac:dyDescent="0.3">
      <c r="A50" s="10"/>
      <c r="G50" s="10"/>
      <c r="H50" s="10"/>
      <c r="I50" s="10"/>
      <c r="J50" s="11"/>
      <c r="K50" s="11"/>
      <c r="L50" s="11"/>
    </row>
    <row r="51" spans="1:38" ht="17.100000000000001" customHeight="1" x14ac:dyDescent="0.25">
      <c r="F51" s="28"/>
      <c r="G51" s="28"/>
      <c r="H51" s="22"/>
      <c r="AE51" s="3"/>
      <c r="AF51" s="3"/>
      <c r="AJ51" s="28"/>
      <c r="AK51" s="28"/>
      <c r="AL51" s="22"/>
    </row>
    <row r="52" spans="1:38" ht="17.100000000000001" customHeight="1" x14ac:dyDescent="0.25">
      <c r="F52" s="28"/>
      <c r="G52" s="28"/>
      <c r="H52" s="22"/>
      <c r="AE52" s="3"/>
      <c r="AF52" s="3"/>
      <c r="AJ52" s="28"/>
      <c r="AK52" s="28"/>
      <c r="AL52" s="22"/>
    </row>
    <row r="53" spans="1:38" ht="17.100000000000001" customHeight="1" x14ac:dyDescent="0.25">
      <c r="F53" s="28"/>
      <c r="G53" s="28"/>
      <c r="H53" s="22"/>
      <c r="AE53" s="3"/>
      <c r="AF53" s="3"/>
      <c r="AJ53" s="28"/>
      <c r="AK53" s="28"/>
      <c r="AL53" s="22"/>
    </row>
    <row r="59" spans="1:38" ht="17.100000000000001" customHeight="1" x14ac:dyDescent="0.3">
      <c r="A59" s="10"/>
    </row>
    <row r="66" spans="18:21" ht="17.100000000000001" customHeight="1" x14ac:dyDescent="0.25">
      <c r="R66" s="676"/>
      <c r="S66" s="676"/>
      <c r="T66" s="676"/>
      <c r="U66" s="676"/>
    </row>
    <row r="100" spans="1:4" ht="17.100000000000001" customHeight="1" x14ac:dyDescent="0.25">
      <c r="A100" s="307" t="str">
        <f>IF(Sprache="English","gate sealing point",IF(Sprache="Deutsch","Siegelpunkt",""))</f>
        <v>Siegelpunkt</v>
      </c>
      <c r="B100" s="310" t="str">
        <f>A100</f>
        <v>Siegelpunkt</v>
      </c>
      <c r="C100" s="310"/>
      <c r="D100" s="310"/>
    </row>
  </sheetData>
  <sheetProtection sheet="1" scenarios="1" formatCells="0" formatColumns="0" formatRows="0" insertRows="0" insertHyperlinks="0" deleteRows="0" selectLockedCells="1"/>
  <customSheetViews>
    <customSheetView guid="{6DE06876-0E46-46FE-AC8C-8F0FAAA09620}" showRuler="0" topLeftCell="D1">
      <selection activeCell="Q8" sqref="Q8:U8"/>
      <pageMargins left="0.39370078740157483" right="0.27559055118110237" top="0.86614173228346458" bottom="0.35433070866141736" header="0.31496062992125984" footer="0.27559055118110237"/>
      <pageSetup paperSize="9" scale="68" orientation="portrait" horizontalDpi="1200" verticalDpi="1200" r:id="rId1"/>
      <headerFooter alignWithMargins="0">
        <oddHeader>&amp;L&amp;"WERFO AG,Regular"&amp;28BC&amp;C
Einstellrichtwerte Bemusterung&amp;R&amp;8
Einstellrichtwerte_Anschlussplan</oddHeader>
        <oddFooter>&amp;LErstellt&amp;&amp;[Datum]/HLN
Freigegeben &amp;CWerfo
Bemusterung</oddFooter>
      </headerFooter>
    </customSheetView>
  </customSheetViews>
  <mergeCells count="104">
    <mergeCell ref="O45:S45"/>
    <mergeCell ref="A45:N45"/>
    <mergeCell ref="O46:S46"/>
    <mergeCell ref="A46:N46"/>
    <mergeCell ref="I14:O14"/>
    <mergeCell ref="I15:O15"/>
    <mergeCell ref="I16:O16"/>
    <mergeCell ref="I17:O17"/>
    <mergeCell ref="I18:O18"/>
    <mergeCell ref="I19:O19"/>
    <mergeCell ref="D14:H14"/>
    <mergeCell ref="D15:H15"/>
    <mergeCell ref="D16:H16"/>
    <mergeCell ref="D17:H17"/>
    <mergeCell ref="D18:H18"/>
    <mergeCell ref="D19:H19"/>
    <mergeCell ref="A17:C17"/>
    <mergeCell ref="A18:C18"/>
    <mergeCell ref="A19:C19"/>
    <mergeCell ref="P18:T18"/>
    <mergeCell ref="AF1:AJ1"/>
    <mergeCell ref="AA1:AD1"/>
    <mergeCell ref="P1:U1"/>
    <mergeCell ref="V1:Z1"/>
    <mergeCell ref="I1:O1"/>
    <mergeCell ref="A1:C1"/>
    <mergeCell ref="D1:H1"/>
    <mergeCell ref="A5:C5"/>
    <mergeCell ref="A6:C6"/>
    <mergeCell ref="A3:AJ3"/>
    <mergeCell ref="U5:Y5"/>
    <mergeCell ref="U6:Y6"/>
    <mergeCell ref="Z5:AJ5"/>
    <mergeCell ref="Z6:AJ6"/>
    <mergeCell ref="D5:H5"/>
    <mergeCell ref="D6:H6"/>
    <mergeCell ref="I5:O5"/>
    <mergeCell ref="I6:O6"/>
    <mergeCell ref="D13:H13"/>
    <mergeCell ref="U11:Y11"/>
    <mergeCell ref="U12:Y12"/>
    <mergeCell ref="I7:O7"/>
    <mergeCell ref="I8:O8"/>
    <mergeCell ref="I9:O9"/>
    <mergeCell ref="P5:T5"/>
    <mergeCell ref="P6:T6"/>
    <mergeCell ref="P7:T7"/>
    <mergeCell ref="A7:C7"/>
    <mergeCell ref="A8:C8"/>
    <mergeCell ref="A9:C9"/>
    <mergeCell ref="D7:H7"/>
    <mergeCell ref="D8:H8"/>
    <mergeCell ref="D9:H9"/>
    <mergeCell ref="D10:H10"/>
    <mergeCell ref="D11:H11"/>
    <mergeCell ref="D12:H12"/>
    <mergeCell ref="Z16:AJ16"/>
    <mergeCell ref="R66:U66"/>
    <mergeCell ref="U7:Y7"/>
    <mergeCell ref="Z7:AJ7"/>
    <mergeCell ref="A10:C10"/>
    <mergeCell ref="A11:C11"/>
    <mergeCell ref="I10:O10"/>
    <mergeCell ref="I11:O11"/>
    <mergeCell ref="P19:T19"/>
    <mergeCell ref="A43:I43"/>
    <mergeCell ref="P11:T11"/>
    <mergeCell ref="P12:T12"/>
    <mergeCell ref="P13:T13"/>
    <mergeCell ref="P17:T17"/>
    <mergeCell ref="P15:T15"/>
    <mergeCell ref="A12:C12"/>
    <mergeCell ref="A13:C13"/>
    <mergeCell ref="A14:C14"/>
    <mergeCell ref="A15:C15"/>
    <mergeCell ref="A16:C16"/>
    <mergeCell ref="I12:O12"/>
    <mergeCell ref="I13:O13"/>
    <mergeCell ref="Z19:AJ19"/>
    <mergeCell ref="U15:Y15"/>
    <mergeCell ref="Z13:AJ13"/>
    <mergeCell ref="P8:T8"/>
    <mergeCell ref="P9:T9"/>
    <mergeCell ref="Z12:AJ12"/>
    <mergeCell ref="U19:Y19"/>
    <mergeCell ref="Z8:AJ8"/>
    <mergeCell ref="Z9:AJ9"/>
    <mergeCell ref="Z10:AJ10"/>
    <mergeCell ref="U8:Y8"/>
    <mergeCell ref="U9:Y9"/>
    <mergeCell ref="U10:Y10"/>
    <mergeCell ref="P14:T14"/>
    <mergeCell ref="U16:Y16"/>
    <mergeCell ref="Z11:AJ11"/>
    <mergeCell ref="U14:Y14"/>
    <mergeCell ref="U13:Y13"/>
    <mergeCell ref="P10:T10"/>
    <mergeCell ref="Z14:AJ14"/>
    <mergeCell ref="U17:Y17"/>
    <mergeCell ref="Z17:AJ17"/>
    <mergeCell ref="U18:Y18"/>
    <mergeCell ref="Z18:AJ18"/>
    <mergeCell ref="P16:T16"/>
    <mergeCell ref="Z15:AJ15"/>
  </mergeCells>
  <phoneticPr fontId="0" type="noConversion"/>
  <conditionalFormatting sqref="D6:AJ19">
    <cfRule type="expression" dxfId="33" priority="2">
      <formula>ISBLANK(D6)</formula>
    </cfRule>
  </conditionalFormatting>
  <pageMargins left="0.74803149606299213" right="0.31496062992125984" top="1.1811023622047245" bottom="0.70866141732283472" header="0.51181102362204722" footer="0.27559055118110237"/>
  <pageSetup paperSize="9" scale="38" orientation="portrait" r:id="rId2"/>
  <headerFooter alignWithMargins="0">
    <oddHeader>&amp;R&amp;G&amp;L&amp;"Arial,Bold"&amp;22Produktion&amp;C&amp;"Arial,Bold"&amp;26Siegelpunkt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drawing r:id="rId3"/>
  <legacyDrawing r:id="rId4"/>
  <legacyDrawingHF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pageSetUpPr fitToPage="1"/>
  </sheetPr>
  <dimension ref="A1:AS100"/>
  <sheetViews>
    <sheetView showGridLines="0" view="pageLayout" zoomScale="70" zoomScaleNormal="70" zoomScalePageLayoutView="70" workbookViewId="0">
      <selection activeCell="B9" sqref="B9"/>
    </sheetView>
  </sheetViews>
  <sheetFormatPr defaultColWidth="3.6640625" defaultRowHeight="17.100000000000001" customHeight="1" x14ac:dyDescent="0.25"/>
  <cols>
    <col min="1" max="1" width="14.44140625" style="32" customWidth="1"/>
    <col min="2" max="2" width="15.33203125" style="32" customWidth="1"/>
    <col min="3" max="3" width="4" style="32" customWidth="1"/>
    <col min="4" max="5" width="3.6640625" style="32" customWidth="1"/>
    <col min="6" max="6" width="16.88671875" style="32" customWidth="1"/>
    <col min="7" max="7" width="3.6640625" style="32" customWidth="1"/>
    <col min="8" max="15" width="5.109375" style="32" customWidth="1"/>
    <col min="16" max="23" width="3.6640625" style="32" customWidth="1"/>
    <col min="24" max="24" width="1.5546875" style="32" customWidth="1"/>
    <col min="25" max="25" width="3.6640625" style="32"/>
    <col min="26" max="26" width="14.6640625" style="32" bestFit="1" customWidth="1"/>
    <col min="27" max="28" width="3.6640625" style="32"/>
    <col min="29" max="29" width="11.88671875" style="32" bestFit="1" customWidth="1"/>
    <col min="30" max="30" width="3.6640625" style="32"/>
    <col min="31" max="31" width="5.44140625" style="32" customWidth="1"/>
    <col min="32" max="32" width="22.88671875" style="32" customWidth="1"/>
    <col min="33" max="33" width="3.6640625" style="32" customWidth="1"/>
    <col min="34" max="34" width="19.88671875" style="32" customWidth="1"/>
    <col min="35" max="16384" width="3.6640625" style="32"/>
  </cols>
  <sheetData>
    <row r="1" spans="1:45" ht="17.100000000000001" customHeight="1" x14ac:dyDescent="0.25">
      <c r="A1" s="752" t="str">
        <f>IF(Sprache="English","article description",IF(Sprache="Deutsch","Artikelbezeichnung",""))</f>
        <v>Artikelbezeichnung</v>
      </c>
      <c r="B1" s="753"/>
      <c r="C1" s="754">
        <f>Infos!F2</f>
        <v>0</v>
      </c>
      <c r="D1" s="755"/>
      <c r="E1" s="755"/>
      <c r="F1" s="756"/>
      <c r="G1" s="757" t="str">
        <f>IF(Sprache="English","article",IF(Sprache="Deutsch","Artikel",""))</f>
        <v>Artikel</v>
      </c>
      <c r="H1" s="758"/>
      <c r="I1" s="758"/>
      <c r="J1" s="758"/>
      <c r="K1" s="758"/>
      <c r="L1" s="758"/>
      <c r="M1" s="759">
        <f>Infos!B3</f>
        <v>0</v>
      </c>
      <c r="N1" s="760"/>
      <c r="O1" s="760"/>
      <c r="P1" s="760"/>
      <c r="Q1" s="760"/>
      <c r="R1" s="760"/>
      <c r="S1" s="760"/>
      <c r="T1" s="760"/>
      <c r="U1" s="760"/>
      <c r="V1" s="760"/>
      <c r="W1" s="760"/>
      <c r="X1" s="761"/>
    </row>
    <row r="2" spans="1:45" ht="17.100000000000001" customHeight="1" thickBot="1" x14ac:dyDescent="0.3">
      <c r="A2" s="762" t="str">
        <f>IF(Sprache="English","mold number",IF(Sprache="Deutsch","WE Nr:",""))</f>
        <v>WE Nr:</v>
      </c>
      <c r="B2" s="763"/>
      <c r="C2" s="764">
        <f>Infos!D2</f>
        <v>0</v>
      </c>
      <c r="D2" s="765"/>
      <c r="E2" s="765"/>
      <c r="F2" s="766"/>
      <c r="G2" s="767" t="s">
        <v>0</v>
      </c>
      <c r="H2" s="768"/>
      <c r="I2" s="768"/>
      <c r="J2" s="768"/>
      <c r="K2" s="768"/>
      <c r="L2" s="768"/>
      <c r="M2" s="769">
        <f>Infos!B5</f>
        <v>0</v>
      </c>
      <c r="N2" s="770"/>
      <c r="O2" s="772" t="str">
        <f>IF(Sprache="English","order number",IF(Sprache="Deutsch","Auftragsnummer",""))</f>
        <v>Auftragsnummer</v>
      </c>
      <c r="P2" s="773"/>
      <c r="Q2" s="773"/>
      <c r="R2" s="773"/>
      <c r="S2" s="773"/>
      <c r="T2" s="774"/>
      <c r="U2" s="764">
        <f>Infos!B4</f>
        <v>0</v>
      </c>
      <c r="V2" s="765"/>
      <c r="W2" s="765"/>
      <c r="X2" s="771"/>
    </row>
    <row r="3" spans="1:45" ht="5.25" customHeight="1" x14ac:dyDescent="0.3">
      <c r="A3" s="37"/>
      <c r="T3" s="37"/>
      <c r="AE3" s="43"/>
      <c r="AF3" s="38"/>
      <c r="AG3" s="38"/>
    </row>
    <row r="4" spans="1:45" s="42" customFormat="1" ht="27.75" customHeight="1" x14ac:dyDescent="0.3">
      <c r="A4" s="778"/>
      <c r="B4" s="778"/>
      <c r="C4" s="778"/>
      <c r="D4" s="778"/>
      <c r="E4" s="778"/>
      <c r="F4" s="778"/>
      <c r="G4" s="778"/>
      <c r="H4" s="778"/>
      <c r="I4" s="778"/>
      <c r="J4" s="778"/>
      <c r="K4" s="778"/>
      <c r="L4" s="778"/>
      <c r="M4" s="778"/>
      <c r="N4" s="778"/>
      <c r="O4" s="778"/>
      <c r="P4" s="778"/>
      <c r="Q4" s="778"/>
      <c r="R4" s="778"/>
      <c r="S4" s="778"/>
      <c r="T4" s="778"/>
      <c r="U4" s="778"/>
      <c r="V4" s="778"/>
      <c r="W4" s="778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</row>
    <row r="5" spans="1:45" ht="4.5" customHeight="1" x14ac:dyDescent="0.25"/>
    <row r="6" spans="1:45" ht="17.100000000000001" customHeight="1" x14ac:dyDescent="0.3">
      <c r="A6" s="303" t="str">
        <f>IF(Sprache="English","shot N°",IF(Sprache="Deutsch","Schuss Nr.",""))</f>
        <v>Schuss Nr.</v>
      </c>
      <c r="B6" s="304" t="str">
        <f>IF(Sprache="English","Weight [g]",IF(Sprache="Deutsch","Gewicht [g]",""))</f>
        <v>Gewicht [g]</v>
      </c>
      <c r="C6" s="41" t="s">
        <v>108</v>
      </c>
      <c r="D6" s="41" t="s">
        <v>107</v>
      </c>
      <c r="E6" s="41" t="s">
        <v>106</v>
      </c>
      <c r="G6" s="779" t="str">
        <f>IF(Sprache="English","date/name",IF(Sprache="Deutsch","Datum/Name",""))</f>
        <v>Datum/Name</v>
      </c>
      <c r="H6" s="780"/>
      <c r="I6" s="780"/>
      <c r="J6" s="780"/>
      <c r="K6" s="780"/>
      <c r="L6" s="781"/>
      <c r="M6" s="782" t="str">
        <f>TEXT(Infos!$B$6, "TT-MMM-JJJJ")  &amp; "    / " &amp; Infos!$D$5</f>
        <v xml:space="preserve">00-Jan-1900    / </v>
      </c>
      <c r="N6" s="783"/>
      <c r="O6" s="783"/>
      <c r="P6" s="783"/>
      <c r="Q6" s="783"/>
      <c r="R6" s="783"/>
      <c r="S6" s="783"/>
      <c r="T6" s="783"/>
      <c r="U6" s="783"/>
      <c r="V6" s="783"/>
      <c r="W6" s="784"/>
      <c r="AC6" s="40"/>
    </row>
    <row r="7" spans="1:45" ht="17.100000000000001" customHeight="1" x14ac:dyDescent="0.25">
      <c r="A7" s="39">
        <v>1</v>
      </c>
      <c r="B7" s="67"/>
      <c r="C7" s="34">
        <f>$P$15</f>
        <v>0</v>
      </c>
      <c r="D7" s="34">
        <f t="shared" ref="D7:D31" si="0">$P$14</f>
        <v>0</v>
      </c>
      <c r="E7" s="34" t="e">
        <f>$P$13</f>
        <v>#DIV/0!</v>
      </c>
      <c r="AL7" s="727" t="e">
        <f>(P17-P16)/(P13/100)/100</f>
        <v>#DIV/0!</v>
      </c>
      <c r="AM7" s="728"/>
      <c r="AN7" s="728"/>
      <c r="AO7" s="728"/>
      <c r="AP7" s="728"/>
      <c r="AQ7" s="728"/>
      <c r="AR7" s="728"/>
      <c r="AS7" s="728"/>
    </row>
    <row r="8" spans="1:45" ht="17.100000000000001" customHeight="1" x14ac:dyDescent="0.25">
      <c r="A8" s="35">
        <v>2</v>
      </c>
      <c r="B8" s="67"/>
      <c r="C8" s="34">
        <f t="shared" ref="C8:C31" si="1">$P$15</f>
        <v>0</v>
      </c>
      <c r="D8" s="34">
        <f t="shared" si="0"/>
        <v>0</v>
      </c>
      <c r="E8" s="34" t="e">
        <f t="shared" ref="E8:E31" si="2">$P$13</f>
        <v>#DIV/0!</v>
      </c>
      <c r="AC8" s="38"/>
    </row>
    <row r="9" spans="1:45" ht="17.100000000000001" customHeight="1" x14ac:dyDescent="0.25">
      <c r="A9" s="35">
        <v>3</v>
      </c>
      <c r="B9" s="67"/>
      <c r="C9" s="34">
        <f t="shared" si="1"/>
        <v>0</v>
      </c>
      <c r="D9" s="34">
        <f t="shared" si="0"/>
        <v>0</v>
      </c>
      <c r="E9" s="34" t="e">
        <f t="shared" si="2"/>
        <v>#DIV/0!</v>
      </c>
      <c r="I9" s="775"/>
      <c r="J9" s="775"/>
      <c r="K9" s="775"/>
      <c r="L9" s="775"/>
      <c r="M9" s="775"/>
      <c r="N9" s="775"/>
      <c r="AC9" s="38"/>
    </row>
    <row r="10" spans="1:45" ht="17.100000000000001" customHeight="1" x14ac:dyDescent="0.25">
      <c r="A10" s="35">
        <v>4</v>
      </c>
      <c r="B10" s="67"/>
      <c r="C10" s="34">
        <f t="shared" si="1"/>
        <v>0</v>
      </c>
      <c r="D10" s="34">
        <f t="shared" si="0"/>
        <v>0</v>
      </c>
      <c r="E10" s="34" t="e">
        <f t="shared" si="2"/>
        <v>#DIV/0!</v>
      </c>
      <c r="AC10" s="38"/>
    </row>
    <row r="11" spans="1:45" ht="17.100000000000001" customHeight="1" x14ac:dyDescent="0.25">
      <c r="A11" s="35">
        <v>5</v>
      </c>
      <c r="B11" s="67"/>
      <c r="C11" s="34">
        <f t="shared" si="1"/>
        <v>0</v>
      </c>
      <c r="D11" s="34">
        <f t="shared" si="0"/>
        <v>0</v>
      </c>
      <c r="E11" s="34" t="e">
        <f t="shared" si="2"/>
        <v>#DIV/0!</v>
      </c>
      <c r="Z11" s="41"/>
    </row>
    <row r="12" spans="1:45" ht="17.100000000000001" customHeight="1" x14ac:dyDescent="0.3">
      <c r="A12" s="35">
        <v>6</v>
      </c>
      <c r="B12" s="67"/>
      <c r="C12" s="34">
        <f t="shared" si="1"/>
        <v>0</v>
      </c>
      <c r="D12" s="34">
        <f t="shared" si="0"/>
        <v>0</v>
      </c>
      <c r="E12" s="34" t="e">
        <f t="shared" si="2"/>
        <v>#DIV/0!</v>
      </c>
      <c r="H12" s="37"/>
      <c r="O12" s="37"/>
      <c r="P12" s="776"/>
      <c r="Q12" s="777"/>
      <c r="R12" s="777"/>
      <c r="S12" s="777"/>
      <c r="T12" s="777"/>
      <c r="U12" s="777"/>
      <c r="V12" s="777"/>
      <c r="W12" s="777"/>
      <c r="Z12" s="41"/>
    </row>
    <row r="13" spans="1:45" ht="17.100000000000001" customHeight="1" x14ac:dyDescent="0.25">
      <c r="A13" s="35">
        <v>7</v>
      </c>
      <c r="B13" s="67"/>
      <c r="C13" s="34">
        <f t="shared" si="1"/>
        <v>0</v>
      </c>
      <c r="D13" s="34">
        <f t="shared" si="0"/>
        <v>0</v>
      </c>
      <c r="E13" s="34" t="e">
        <f t="shared" si="2"/>
        <v>#DIV/0!</v>
      </c>
      <c r="H13" s="746" t="str">
        <f>IF(Sprache="English","middle range (take 4 shots)",IF(Sprache="Deutsch","Mittelwert   (4Stk entnehmen)",""))</f>
        <v>Mittelwert   (4Stk entnehmen)</v>
      </c>
      <c r="I13" s="747"/>
      <c r="J13" s="747"/>
      <c r="K13" s="747"/>
      <c r="L13" s="747"/>
      <c r="M13" s="747"/>
      <c r="N13" s="747"/>
      <c r="O13" s="748"/>
      <c r="P13" s="724" t="e">
        <f>ROUND(AVERAGE(B7:B31),3)</f>
        <v>#DIV/0!</v>
      </c>
      <c r="Q13" s="725"/>
      <c r="R13" s="725"/>
      <c r="S13" s="725"/>
      <c r="T13" s="725"/>
      <c r="U13" s="725"/>
      <c r="V13" s="725"/>
      <c r="W13" s="726"/>
      <c r="Z13" s="312" t="e">
        <f>P13+(P13/100)</f>
        <v>#DIV/0!</v>
      </c>
      <c r="AC13" s="332"/>
    </row>
    <row r="14" spans="1:45" ht="17.100000000000001" customHeight="1" x14ac:dyDescent="0.25">
      <c r="A14" s="35">
        <v>8</v>
      </c>
      <c r="B14" s="67"/>
      <c r="C14" s="34">
        <f t="shared" si="1"/>
        <v>0</v>
      </c>
      <c r="D14" s="34">
        <f t="shared" si="0"/>
        <v>0</v>
      </c>
      <c r="E14" s="34" t="e">
        <f t="shared" si="2"/>
        <v>#DIV/0!</v>
      </c>
      <c r="H14" s="749" t="str">
        <f>IF(Sprache="English","Minimum (take 1 shot)",IF(Sprache="Deutsch","Minimum   (1Stk entnehmen)",""))</f>
        <v>Minimum   (1Stk entnehmen)</v>
      </c>
      <c r="I14" s="750"/>
      <c r="J14" s="750"/>
      <c r="K14" s="750"/>
      <c r="L14" s="750"/>
      <c r="M14" s="750"/>
      <c r="N14" s="750"/>
      <c r="O14" s="751"/>
      <c r="P14" s="724">
        <f>MIN(B7:B31)</f>
        <v>0</v>
      </c>
      <c r="Q14" s="725"/>
      <c r="R14" s="725"/>
      <c r="S14" s="725"/>
      <c r="T14" s="725"/>
      <c r="U14" s="725"/>
      <c r="V14" s="725"/>
      <c r="W14" s="726"/>
      <c r="Z14" s="312" t="e">
        <f>P13-(P13/100)</f>
        <v>#DIV/0!</v>
      </c>
    </row>
    <row r="15" spans="1:45" ht="17.100000000000001" customHeight="1" x14ac:dyDescent="0.25">
      <c r="A15" s="35">
        <v>9</v>
      </c>
      <c r="B15" s="67"/>
      <c r="C15" s="34">
        <f t="shared" si="1"/>
        <v>0</v>
      </c>
      <c r="D15" s="34">
        <f t="shared" si="0"/>
        <v>0</v>
      </c>
      <c r="E15" s="34" t="e">
        <f t="shared" si="2"/>
        <v>#DIV/0!</v>
      </c>
      <c r="H15" s="740" t="str">
        <f>IF(Sprache="English","Maximum (take 1 shot)",IF(Sprache="Deutsch","Maximum   (1Stk entnehmen)",""))</f>
        <v>Maximum   (1Stk entnehmen)</v>
      </c>
      <c r="I15" s="741"/>
      <c r="J15" s="741"/>
      <c r="K15" s="741"/>
      <c r="L15" s="741"/>
      <c r="M15" s="741"/>
      <c r="N15" s="741"/>
      <c r="O15" s="742"/>
      <c r="P15" s="724">
        <f>MAX(B7:B31)</f>
        <v>0</v>
      </c>
      <c r="Q15" s="725"/>
      <c r="R15" s="725"/>
      <c r="S15" s="725"/>
      <c r="T15" s="725"/>
      <c r="U15" s="725"/>
      <c r="V15" s="725"/>
      <c r="W15" s="726"/>
      <c r="Z15" s="41"/>
    </row>
    <row r="16" spans="1:45" ht="17.100000000000001" customHeight="1" x14ac:dyDescent="0.25">
      <c r="A16" s="35">
        <v>10</v>
      </c>
      <c r="B16" s="67"/>
      <c r="C16" s="34">
        <f t="shared" si="1"/>
        <v>0</v>
      </c>
      <c r="D16" s="34">
        <f t="shared" si="0"/>
        <v>0</v>
      </c>
      <c r="E16" s="34" t="e">
        <f t="shared" si="2"/>
        <v>#DIV/0!</v>
      </c>
      <c r="H16" s="721" t="str">
        <f>IF(Sprache="English","standard deviation",IF(Sprache="Deutsch","Standardabweichung",""))</f>
        <v>Standardabweichung</v>
      </c>
      <c r="I16" s="722"/>
      <c r="J16" s="722"/>
      <c r="K16" s="722"/>
      <c r="L16" s="722"/>
      <c r="M16" s="722"/>
      <c r="N16" s="722"/>
      <c r="O16" s="723"/>
      <c r="P16" s="724" t="e">
        <f>STDEVA(B7:B31)</f>
        <v>#DIV/0!</v>
      </c>
      <c r="Q16" s="725"/>
      <c r="R16" s="725"/>
      <c r="S16" s="725"/>
      <c r="T16" s="725"/>
      <c r="U16" s="725"/>
      <c r="V16" s="725"/>
      <c r="W16" s="726"/>
      <c r="Z16" s="41"/>
    </row>
    <row r="17" spans="1:32" ht="17.100000000000001" customHeight="1" x14ac:dyDescent="0.25">
      <c r="A17" s="35">
        <v>11</v>
      </c>
      <c r="B17" s="67"/>
      <c r="C17" s="34">
        <f t="shared" si="1"/>
        <v>0</v>
      </c>
      <c r="D17" s="34">
        <f t="shared" si="0"/>
        <v>0</v>
      </c>
      <c r="E17" s="34" t="e">
        <f t="shared" si="2"/>
        <v>#DIV/0!</v>
      </c>
      <c r="F17" s="47" t="e">
        <f>$P$18+$P$18*$F$18</f>
        <v>#DIV/0!</v>
      </c>
      <c r="H17" s="721" t="str">
        <f>IF(Sprache="English","relative tolerance range",IF(Sprache="Deutsch","relative Toleranzbreite",""))</f>
        <v>relative Toleranzbreite</v>
      </c>
      <c r="I17" s="722"/>
      <c r="J17" s="722"/>
      <c r="K17" s="722"/>
      <c r="L17" s="722"/>
      <c r="M17" s="722"/>
      <c r="N17" s="722"/>
      <c r="O17" s="723"/>
      <c r="P17" s="743" t="e">
        <f>IF(P13&gt;20,1%,IF(P13&gt;10,(2%+(2%-1%)/((10-20)/(P13-10))),IF(P13&gt;1,(5%+(5%-2%)/((1-10)/(P13-1))),5%)))</f>
        <v>#DIV/0!</v>
      </c>
      <c r="Q17" s="744"/>
      <c r="R17" s="744"/>
      <c r="S17" s="744"/>
      <c r="T17" s="744"/>
      <c r="U17" s="744"/>
      <c r="V17" s="744"/>
      <c r="W17" s="745"/>
      <c r="Z17" s="41"/>
    </row>
    <row r="18" spans="1:32" ht="17.100000000000001" customHeight="1" x14ac:dyDescent="0.25">
      <c r="A18" s="35">
        <v>12</v>
      </c>
      <c r="B18" s="67"/>
      <c r="C18" s="34">
        <f t="shared" si="1"/>
        <v>0</v>
      </c>
      <c r="D18" s="34">
        <f t="shared" si="0"/>
        <v>0</v>
      </c>
      <c r="E18" s="34" t="e">
        <f t="shared" si="2"/>
        <v>#DIV/0!</v>
      </c>
      <c r="F18" s="48" t="e">
        <f>AL7/10</f>
        <v>#DIV/0!</v>
      </c>
      <c r="H18" s="721" t="str">
        <f>IF(Sprache="English","absolute tolerance range",IF(Sprache="Deutsch","absolute Toleranzbreite",""))</f>
        <v>absolute Toleranzbreite</v>
      </c>
      <c r="I18" s="722"/>
      <c r="J18" s="722"/>
      <c r="K18" s="722"/>
      <c r="L18" s="722"/>
      <c r="M18" s="722"/>
      <c r="N18" s="722"/>
      <c r="O18" s="723"/>
      <c r="P18" s="724" t="e">
        <f>P13*P17</f>
        <v>#DIV/0!</v>
      </c>
      <c r="Q18" s="725"/>
      <c r="R18" s="725"/>
      <c r="S18" s="725"/>
      <c r="T18" s="725"/>
      <c r="U18" s="725"/>
      <c r="V18" s="725"/>
      <c r="W18" s="726"/>
      <c r="Z18" s="331"/>
    </row>
    <row r="19" spans="1:32" ht="17.100000000000001" customHeight="1" x14ac:dyDescent="0.3">
      <c r="A19" s="35">
        <v>13</v>
      </c>
      <c r="B19" s="67"/>
      <c r="C19" s="34">
        <f t="shared" si="1"/>
        <v>0</v>
      </c>
      <c r="D19" s="34">
        <f t="shared" si="0"/>
        <v>0</v>
      </c>
      <c r="E19" s="34" t="e">
        <f t="shared" si="2"/>
        <v>#DIV/0!</v>
      </c>
      <c r="F19" s="47" t="e">
        <f>$P$18-$P$18*$F$18</f>
        <v>#DIV/0!</v>
      </c>
      <c r="H19" s="721" t="str">
        <f>IF(Sprache="English","lower tolerance",IF(Sprache="Deutsch","untere Toleranz",""))</f>
        <v>untere Toleranz</v>
      </c>
      <c r="I19" s="722"/>
      <c r="J19" s="722"/>
      <c r="K19" s="722"/>
      <c r="L19" s="722"/>
      <c r="M19" s="722"/>
      <c r="N19" s="722"/>
      <c r="O19" s="723"/>
      <c r="P19" s="736" t="e">
        <f>P13*(1-P17/2)</f>
        <v>#DIV/0!</v>
      </c>
      <c r="Q19" s="737"/>
      <c r="R19" s="737"/>
      <c r="S19" s="737"/>
      <c r="T19" s="737"/>
      <c r="U19" s="737"/>
      <c r="V19" s="737"/>
      <c r="W19" s="738"/>
    </row>
    <row r="20" spans="1:32" ht="17.100000000000001" customHeight="1" x14ac:dyDescent="0.3">
      <c r="A20" s="35">
        <v>14</v>
      </c>
      <c r="B20" s="67"/>
      <c r="C20" s="34">
        <f t="shared" si="1"/>
        <v>0</v>
      </c>
      <c r="D20" s="34">
        <f t="shared" si="0"/>
        <v>0</v>
      </c>
      <c r="E20" s="34" t="e">
        <f t="shared" si="2"/>
        <v>#DIV/0!</v>
      </c>
      <c r="H20" s="721" t="str">
        <f>IF(Sprache="English","upper tolerance",IF(Sprache="Deutsch","obere Toleranz",""))</f>
        <v>obere Toleranz</v>
      </c>
      <c r="I20" s="722"/>
      <c r="J20" s="722"/>
      <c r="K20" s="722"/>
      <c r="L20" s="722"/>
      <c r="M20" s="722"/>
      <c r="N20" s="722"/>
      <c r="O20" s="723"/>
      <c r="P20" s="736" t="e">
        <f>P13*(1+P17/2)</f>
        <v>#DIV/0!</v>
      </c>
      <c r="Q20" s="737"/>
      <c r="R20" s="737"/>
      <c r="S20" s="737"/>
      <c r="T20" s="737"/>
      <c r="U20" s="737"/>
      <c r="V20" s="737"/>
      <c r="W20" s="738"/>
    </row>
    <row r="21" spans="1:32" ht="17.100000000000001" customHeight="1" x14ac:dyDescent="0.3">
      <c r="A21" s="35">
        <v>15</v>
      </c>
      <c r="B21" s="67"/>
      <c r="C21" s="34">
        <f t="shared" si="1"/>
        <v>0</v>
      </c>
      <c r="D21" s="34">
        <f t="shared" si="0"/>
        <v>0</v>
      </c>
      <c r="E21" s="34" t="e">
        <f t="shared" si="2"/>
        <v>#DIV/0!</v>
      </c>
      <c r="H21" s="732" t="str">
        <f>IF(Sprache="English","machine capability index Cm",IF(Sprache="Deutsch","Maschinenfähigkeitsindex Cm",""))</f>
        <v>Maschinenfähigkeitsindex Cm</v>
      </c>
      <c r="I21" s="733"/>
      <c r="J21" s="733"/>
      <c r="K21" s="733"/>
      <c r="L21" s="733"/>
      <c r="M21" s="733"/>
      <c r="N21" s="733"/>
      <c r="O21" s="733"/>
      <c r="P21" s="734" t="e">
        <f>(P20-P19)/(6*P16)</f>
        <v>#DIV/0!</v>
      </c>
      <c r="Q21" s="734"/>
      <c r="R21" s="734"/>
      <c r="S21" s="734"/>
      <c r="T21" s="734"/>
      <c r="U21" s="734"/>
      <c r="V21" s="734"/>
      <c r="W21" s="734"/>
      <c r="X21" s="247"/>
      <c r="Y21" s="36"/>
      <c r="Z21" s="36"/>
      <c r="AA21" s="739"/>
      <c r="AB21" s="739"/>
      <c r="AC21" s="739"/>
      <c r="AD21" s="739"/>
      <c r="AE21" s="739"/>
      <c r="AF21" s="739"/>
    </row>
    <row r="22" spans="1:32" ht="17.100000000000001" customHeight="1" x14ac:dyDescent="0.25">
      <c r="A22" s="35">
        <v>16</v>
      </c>
      <c r="B22" s="67"/>
      <c r="C22" s="34">
        <f t="shared" si="1"/>
        <v>0</v>
      </c>
      <c r="D22" s="34">
        <f t="shared" si="0"/>
        <v>0</v>
      </c>
      <c r="E22" s="34" t="e">
        <f t="shared" si="2"/>
        <v>#DIV/0!</v>
      </c>
      <c r="H22" s="735"/>
      <c r="I22" s="735"/>
      <c r="J22" s="735"/>
      <c r="K22" s="735"/>
      <c r="L22" s="735"/>
      <c r="M22" s="735"/>
      <c r="N22" s="735"/>
      <c r="O22" s="735"/>
      <c r="P22" s="735"/>
      <c r="Q22" s="735"/>
      <c r="R22" s="735"/>
      <c r="S22" s="735"/>
      <c r="T22" s="735"/>
      <c r="U22" s="735"/>
      <c r="V22" s="735"/>
      <c r="W22" s="735"/>
      <c r="X22" s="230"/>
      <c r="Y22" s="230"/>
      <c r="Z22" s="230"/>
      <c r="AA22" s="230"/>
      <c r="AB22" s="230"/>
      <c r="AC22" s="230"/>
      <c r="AD22" s="230"/>
      <c r="AE22" s="230"/>
    </row>
    <row r="23" spans="1:32" ht="17.100000000000001" customHeight="1" x14ac:dyDescent="0.25">
      <c r="A23" s="35">
        <v>17</v>
      </c>
      <c r="B23" s="67"/>
      <c r="C23" s="34">
        <f t="shared" si="1"/>
        <v>0</v>
      </c>
      <c r="D23" s="34">
        <f t="shared" si="0"/>
        <v>0</v>
      </c>
      <c r="E23" s="34" t="e">
        <f t="shared" si="2"/>
        <v>#DIV/0!</v>
      </c>
      <c r="H23" s="735"/>
      <c r="I23" s="735"/>
      <c r="J23" s="735"/>
      <c r="K23" s="735"/>
      <c r="L23" s="735"/>
      <c r="M23" s="735"/>
      <c r="N23" s="735"/>
      <c r="O23" s="735"/>
      <c r="P23" s="735"/>
      <c r="Q23" s="735"/>
      <c r="R23" s="735"/>
      <c r="S23" s="735"/>
      <c r="T23" s="735"/>
      <c r="U23" s="735"/>
      <c r="V23" s="735"/>
      <c r="W23" s="735"/>
      <c r="X23" s="230"/>
      <c r="Y23" s="230"/>
      <c r="Z23" s="230"/>
      <c r="AA23" s="230"/>
      <c r="AB23" s="230"/>
      <c r="AC23" s="230"/>
      <c r="AD23" s="230"/>
      <c r="AE23" s="230"/>
    </row>
    <row r="24" spans="1:32" ht="17.100000000000001" customHeight="1" x14ac:dyDescent="0.25">
      <c r="A24" s="35">
        <v>18</v>
      </c>
      <c r="B24" s="67"/>
      <c r="C24" s="34">
        <f t="shared" si="1"/>
        <v>0</v>
      </c>
      <c r="D24" s="34">
        <f t="shared" si="0"/>
        <v>0</v>
      </c>
      <c r="E24" s="34" t="e">
        <f t="shared" si="2"/>
        <v>#DIV/0!</v>
      </c>
      <c r="H24" s="274"/>
      <c r="I24" s="274"/>
      <c r="J24" s="274"/>
      <c r="K24" s="274"/>
      <c r="L24" s="274"/>
      <c r="M24" s="274"/>
      <c r="N24" s="274"/>
      <c r="O24" s="274"/>
      <c r="P24" s="274"/>
      <c r="Q24" s="274"/>
      <c r="R24" s="274"/>
      <c r="S24" s="274"/>
      <c r="T24" s="274"/>
      <c r="U24" s="274"/>
      <c r="V24" s="274"/>
      <c r="W24" s="274"/>
      <c r="X24" s="230"/>
      <c r="Y24" s="230"/>
      <c r="Z24" s="230"/>
      <c r="AA24" s="230"/>
      <c r="AB24" s="230"/>
      <c r="AC24" s="230"/>
      <c r="AD24" s="230"/>
      <c r="AE24" s="230"/>
    </row>
    <row r="25" spans="1:32" ht="17.100000000000001" customHeight="1" x14ac:dyDescent="0.25">
      <c r="A25" s="35">
        <v>19</v>
      </c>
      <c r="B25" s="67"/>
      <c r="C25" s="34">
        <f t="shared" si="1"/>
        <v>0</v>
      </c>
      <c r="D25" s="34">
        <f t="shared" si="0"/>
        <v>0</v>
      </c>
      <c r="E25" s="34" t="e">
        <f t="shared" si="2"/>
        <v>#DIV/0!</v>
      </c>
      <c r="P25" s="274"/>
      <c r="Q25" s="274"/>
      <c r="R25" s="274"/>
      <c r="S25" s="274"/>
      <c r="T25" s="274"/>
      <c r="U25" s="274"/>
      <c r="V25" s="274"/>
      <c r="W25" s="274"/>
      <c r="X25" s="230"/>
      <c r="Y25" s="230"/>
      <c r="Z25" s="230"/>
      <c r="AA25" s="230"/>
      <c r="AB25" s="230"/>
      <c r="AC25" s="230"/>
      <c r="AD25" s="230"/>
      <c r="AE25" s="230"/>
    </row>
    <row r="26" spans="1:32" ht="17.100000000000001" customHeight="1" x14ac:dyDescent="0.25">
      <c r="A26" s="35">
        <v>20</v>
      </c>
      <c r="B26" s="67"/>
      <c r="C26" s="34">
        <f t="shared" si="1"/>
        <v>0</v>
      </c>
      <c r="D26" s="34">
        <f t="shared" si="0"/>
        <v>0</v>
      </c>
      <c r="E26" s="34" t="e">
        <f t="shared" si="2"/>
        <v>#DIV/0!</v>
      </c>
      <c r="P26" s="274"/>
      <c r="Q26" s="274"/>
      <c r="R26" s="274"/>
      <c r="S26" s="274"/>
      <c r="T26" s="274"/>
      <c r="U26" s="274"/>
      <c r="V26" s="274"/>
      <c r="W26" s="274"/>
      <c r="X26" s="230"/>
      <c r="Y26" s="230"/>
      <c r="Z26" s="230"/>
      <c r="AA26" s="230"/>
      <c r="AB26" s="230"/>
      <c r="AC26" s="230"/>
      <c r="AD26" s="230"/>
      <c r="AE26" s="230"/>
    </row>
    <row r="27" spans="1:32" ht="17.100000000000001" customHeight="1" x14ac:dyDescent="0.25">
      <c r="A27" s="35">
        <v>21</v>
      </c>
      <c r="B27" s="67"/>
      <c r="C27" s="34">
        <f t="shared" si="1"/>
        <v>0</v>
      </c>
      <c r="D27" s="34">
        <f t="shared" si="0"/>
        <v>0</v>
      </c>
      <c r="E27" s="34" t="e">
        <f t="shared" si="2"/>
        <v>#DIV/0!</v>
      </c>
      <c r="P27" s="274"/>
      <c r="Q27" s="274"/>
      <c r="R27" s="274"/>
      <c r="S27" s="274"/>
      <c r="T27" s="274"/>
      <c r="U27" s="274"/>
      <c r="V27" s="274"/>
      <c r="W27" s="274"/>
      <c r="X27" s="230"/>
      <c r="Y27" s="230"/>
      <c r="Z27" s="230"/>
      <c r="AA27" s="230"/>
      <c r="AB27" s="230"/>
      <c r="AC27" s="230"/>
      <c r="AD27" s="230"/>
      <c r="AE27" s="230"/>
    </row>
    <row r="28" spans="1:32" ht="17.100000000000001" customHeight="1" x14ac:dyDescent="0.25">
      <c r="A28" s="35">
        <v>22</v>
      </c>
      <c r="B28" s="67"/>
      <c r="C28" s="34">
        <f t="shared" si="1"/>
        <v>0</v>
      </c>
      <c r="D28" s="34">
        <f t="shared" si="0"/>
        <v>0</v>
      </c>
      <c r="E28" s="34" t="e">
        <f t="shared" si="2"/>
        <v>#DIV/0!</v>
      </c>
      <c r="P28" s="274"/>
      <c r="Q28" s="274"/>
      <c r="R28" s="274"/>
      <c r="S28" s="274"/>
      <c r="T28" s="274"/>
      <c r="U28" s="274"/>
      <c r="V28" s="274"/>
      <c r="W28" s="274"/>
    </row>
    <row r="29" spans="1:32" ht="17.100000000000001" customHeight="1" x14ac:dyDescent="0.25">
      <c r="A29" s="35">
        <v>23</v>
      </c>
      <c r="B29" s="67"/>
      <c r="C29" s="34">
        <f t="shared" si="1"/>
        <v>0</v>
      </c>
      <c r="D29" s="34">
        <f t="shared" si="0"/>
        <v>0</v>
      </c>
      <c r="E29" s="34" t="e">
        <f t="shared" si="2"/>
        <v>#DIV/0!</v>
      </c>
      <c r="P29" s="274"/>
      <c r="Q29" s="274"/>
      <c r="R29" s="274"/>
      <c r="S29" s="274"/>
      <c r="T29" s="274"/>
      <c r="U29" s="274"/>
      <c r="V29" s="274"/>
      <c r="W29" s="274"/>
    </row>
    <row r="30" spans="1:32" ht="17.100000000000001" customHeight="1" x14ac:dyDescent="0.25">
      <c r="A30" s="35">
        <v>24</v>
      </c>
      <c r="B30" s="67"/>
      <c r="C30" s="34">
        <f t="shared" si="1"/>
        <v>0</v>
      </c>
      <c r="D30" s="34">
        <f t="shared" si="0"/>
        <v>0</v>
      </c>
      <c r="E30" s="34" t="e">
        <f t="shared" si="2"/>
        <v>#DIV/0!</v>
      </c>
      <c r="P30" s="274"/>
      <c r="Q30" s="274"/>
      <c r="R30" s="274"/>
      <c r="S30" s="274"/>
      <c r="T30" s="274"/>
      <c r="U30" s="274"/>
      <c r="V30" s="274"/>
      <c r="W30" s="274"/>
    </row>
    <row r="31" spans="1:32" ht="17.100000000000001" customHeight="1" x14ac:dyDescent="0.25">
      <c r="A31" s="35">
        <v>25</v>
      </c>
      <c r="B31" s="67"/>
      <c r="C31" s="34">
        <f t="shared" si="1"/>
        <v>0</v>
      </c>
      <c r="D31" s="34">
        <f t="shared" si="0"/>
        <v>0</v>
      </c>
      <c r="E31" s="34" t="e">
        <f t="shared" si="2"/>
        <v>#DIV/0!</v>
      </c>
      <c r="P31" s="274"/>
      <c r="Q31" s="274"/>
      <c r="R31" s="274"/>
      <c r="S31" s="274"/>
      <c r="T31" s="274"/>
      <c r="U31" s="274"/>
      <c r="V31" s="274"/>
      <c r="W31" s="274"/>
    </row>
    <row r="32" spans="1:32" ht="17.100000000000001" customHeight="1" x14ac:dyDescent="0.25">
      <c r="P32" s="274"/>
      <c r="Q32" s="274"/>
      <c r="R32" s="274"/>
      <c r="S32" s="274"/>
      <c r="T32" s="274"/>
      <c r="U32" s="274"/>
      <c r="V32" s="274"/>
      <c r="W32" s="274"/>
    </row>
    <row r="54" spans="2:18" ht="17.100000000000001" customHeight="1" x14ac:dyDescent="0.35">
      <c r="B54" s="49"/>
      <c r="C54" s="49"/>
      <c r="D54" s="49"/>
      <c r="E54" s="49"/>
      <c r="F54" s="33"/>
      <c r="G54" s="729"/>
      <c r="H54" s="730"/>
      <c r="I54" s="730"/>
      <c r="J54" s="730"/>
      <c r="K54" s="730"/>
      <c r="L54" s="730"/>
      <c r="M54" s="730"/>
      <c r="N54" s="730"/>
      <c r="O54" s="731"/>
      <c r="P54" s="730"/>
      <c r="Q54" s="730"/>
      <c r="R54" s="730"/>
    </row>
    <row r="100" spans="1:3" ht="17.100000000000001" customHeight="1" x14ac:dyDescent="0.25">
      <c r="A100" s="307" t="str">
        <f>IF(Sprache="English","25-Shots analysis",IF(Sprache="Deutsch","25-Schussanalyse",""))</f>
        <v>25-Schussanalyse</v>
      </c>
      <c r="B100" s="311" t="str">
        <f>A100</f>
        <v>25-Schussanalyse</v>
      </c>
      <c r="C100" s="311"/>
    </row>
  </sheetData>
  <sheetProtection sheet="1" scenarios="1" formatCells="0" formatColumns="0" formatRows="0" insertRows="0" insertHyperlinks="0" deleteRows="0" selectLockedCells="1"/>
  <mergeCells count="39">
    <mergeCell ref="I9:N9"/>
    <mergeCell ref="P12:W12"/>
    <mergeCell ref="A4:W4"/>
    <mergeCell ref="G6:L6"/>
    <mergeCell ref="M6:W6"/>
    <mergeCell ref="A1:B1"/>
    <mergeCell ref="C1:F1"/>
    <mergeCell ref="G1:L1"/>
    <mergeCell ref="M1:X1"/>
    <mergeCell ref="A2:B2"/>
    <mergeCell ref="C2:F2"/>
    <mergeCell ref="G2:L2"/>
    <mergeCell ref="M2:N2"/>
    <mergeCell ref="U2:X2"/>
    <mergeCell ref="O2:T2"/>
    <mergeCell ref="H16:O16"/>
    <mergeCell ref="P16:W16"/>
    <mergeCell ref="H17:O17"/>
    <mergeCell ref="P17:W17"/>
    <mergeCell ref="H13:O13"/>
    <mergeCell ref="P13:W13"/>
    <mergeCell ref="H14:O14"/>
    <mergeCell ref="P14:W14"/>
    <mergeCell ref="H18:O18"/>
    <mergeCell ref="P18:W18"/>
    <mergeCell ref="AL7:AS7"/>
    <mergeCell ref="G54:N54"/>
    <mergeCell ref="O54:R54"/>
    <mergeCell ref="H21:O21"/>
    <mergeCell ref="P21:W21"/>
    <mergeCell ref="P22:W23"/>
    <mergeCell ref="H22:O23"/>
    <mergeCell ref="P20:W20"/>
    <mergeCell ref="H20:O20"/>
    <mergeCell ref="P19:W19"/>
    <mergeCell ref="H19:O19"/>
    <mergeCell ref="AA21:AF21"/>
    <mergeCell ref="H15:O15"/>
    <mergeCell ref="P15:W15"/>
  </mergeCells>
  <conditionalFormatting sqref="P17:W17">
    <cfRule type="cellIs" dxfId="32" priority="41" stopIfTrue="1" operator="greaterThan">
      <formula>$P$13</formula>
    </cfRule>
  </conditionalFormatting>
  <conditionalFormatting sqref="P21:W21">
    <cfRule type="cellIs" dxfId="31" priority="15" operator="greaterThanOrEqual">
      <formula>1.33</formula>
    </cfRule>
    <cfRule type="cellIs" dxfId="30" priority="16" operator="lessThan">
      <formula>1.33</formula>
    </cfRule>
  </conditionalFormatting>
  <conditionalFormatting sqref="B7:B31">
    <cfRule type="expression" dxfId="29" priority="1">
      <formula>ISBLANK(B7)</formula>
    </cfRule>
    <cfRule type="top10" dxfId="28" priority="6" bottom="1" rank="1"/>
    <cfRule type="top10" dxfId="27" priority="7" rank="1"/>
    <cfRule type="cellIs" dxfId="26" priority="8" operator="between">
      <formula>$Z$13</formula>
      <formula>$Z$14</formula>
    </cfRule>
  </conditionalFormatting>
  <pageMargins left="0.9055118110236221" right="0.31496062992125984" top="1.3385826771653544" bottom="0.70866141732283472" header="0.51181102362204722" footer="0.27559055118110237"/>
  <pageSetup paperSize="9" scale="34" orientation="portrait" r:id="rId1"/>
  <headerFooter alignWithMargins="0">
    <oddHeader>&amp;R&amp;G&amp;L&amp;"Arial,Bold"&amp;22Produktion&amp;C&amp;"Arial,Bold"&amp;26 25-Schussanalyse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>
    <pageSetUpPr fitToPage="1"/>
  </sheetPr>
  <dimension ref="A1:DJ100"/>
  <sheetViews>
    <sheetView showGridLines="0" view="pageLayout" zoomScale="70" zoomScaleNormal="85" zoomScalePageLayoutView="70" workbookViewId="0">
      <selection activeCell="D53" sqref="D53:I53"/>
    </sheetView>
  </sheetViews>
  <sheetFormatPr defaultColWidth="3.6640625" defaultRowHeight="17.100000000000001" customHeight="1" x14ac:dyDescent="0.25"/>
  <cols>
    <col min="1" max="10" width="3.6640625" customWidth="1"/>
    <col min="11" max="11" width="4.33203125" customWidth="1"/>
    <col min="14" max="14" width="4.88671875" bestFit="1" customWidth="1"/>
    <col min="15" max="15" width="3.6640625" customWidth="1"/>
    <col min="16" max="16" width="4.6640625" bestFit="1" customWidth="1"/>
    <col min="18" max="18" width="5" customWidth="1"/>
    <col min="20" max="20" width="4.6640625" bestFit="1" customWidth="1"/>
    <col min="22" max="22" width="4.6640625" customWidth="1"/>
    <col min="24" max="24" width="4.6640625" bestFit="1" customWidth="1"/>
    <col min="26" max="26" width="5" customWidth="1"/>
    <col min="27" max="27" width="3.6640625" customWidth="1"/>
    <col min="28" max="28" width="4.6640625" bestFit="1" customWidth="1"/>
    <col min="30" max="30" width="5.109375" customWidth="1"/>
    <col min="32" max="32" width="4.6640625" bestFit="1" customWidth="1"/>
    <col min="34" max="34" width="5.109375" customWidth="1"/>
    <col min="36" max="36" width="4.6640625" bestFit="1" customWidth="1"/>
    <col min="47" max="47" width="4.33203125" bestFit="1" customWidth="1"/>
    <col min="48" max="48" width="3.88671875" bestFit="1" customWidth="1"/>
    <col min="50" max="50" width="3.109375" customWidth="1"/>
    <col min="51" max="51" width="3.88671875" bestFit="1" customWidth="1"/>
    <col min="52" max="52" width="4" customWidth="1"/>
    <col min="54" max="54" width="4" customWidth="1"/>
    <col min="56" max="56" width="3.88671875" bestFit="1" customWidth="1"/>
    <col min="57" max="57" width="5.44140625" customWidth="1"/>
    <col min="58" max="58" width="3.88671875" bestFit="1" customWidth="1"/>
  </cols>
  <sheetData>
    <row r="1" spans="1:114" ht="21" customHeight="1" thickBot="1" x14ac:dyDescent="0.3">
      <c r="A1" s="409" t="str">
        <f>IF(Sprache="English","article description",IF(Sprache="Deutsch","Artikelbezeichnung",""))</f>
        <v>Artikelbezeichnung</v>
      </c>
      <c r="B1" s="410"/>
      <c r="C1" s="410"/>
      <c r="D1" s="410"/>
      <c r="E1" s="410"/>
      <c r="F1" s="410"/>
      <c r="G1" s="786" t="str">
        <f>IF(Infos!F2&lt;&gt;"",Infos!F2,"")</f>
        <v/>
      </c>
      <c r="H1" s="786"/>
      <c r="I1" s="786"/>
      <c r="J1" s="786"/>
      <c r="K1" s="786"/>
      <c r="L1" s="786"/>
      <c r="M1" s="786"/>
      <c r="N1" s="786"/>
      <c r="O1" s="786"/>
      <c r="P1" s="786"/>
      <c r="Q1" s="786"/>
      <c r="R1" s="127"/>
      <c r="S1" s="127"/>
      <c r="T1" s="161"/>
      <c r="U1" s="161"/>
      <c r="V1" s="161"/>
      <c r="W1" s="161"/>
      <c r="X1" s="161"/>
      <c r="Y1" s="161"/>
      <c r="Z1" s="161"/>
      <c r="AA1" s="161"/>
      <c r="AB1" s="161"/>
      <c r="AC1" s="421" t="s">
        <v>141</v>
      </c>
      <c r="AD1" s="422"/>
      <c r="AE1" s="422"/>
      <c r="AF1" s="411" t="str">
        <f>IF(Infos!B2&lt;&gt;"",Infos!B2,"")</f>
        <v/>
      </c>
      <c r="AG1" s="411"/>
      <c r="AH1" s="411"/>
      <c r="AI1" s="411"/>
      <c r="AJ1" s="411"/>
      <c r="AK1" s="411"/>
      <c r="AL1" s="135"/>
      <c r="AN1" s="830" t="s">
        <v>122</v>
      </c>
      <c r="AO1" s="830"/>
      <c r="AP1" s="830"/>
      <c r="AQ1" s="830"/>
      <c r="AR1" s="830"/>
      <c r="AS1" s="830"/>
      <c r="AT1" s="830"/>
      <c r="AU1" s="830"/>
      <c r="AV1" s="208"/>
      <c r="AW1" s="208"/>
      <c r="AX1" s="208"/>
      <c r="AY1" s="208"/>
      <c r="AZ1" s="208"/>
      <c r="BA1" s="208"/>
      <c r="BB1" s="208"/>
      <c r="BC1" s="208"/>
      <c r="BD1" s="208"/>
      <c r="BE1" s="208"/>
      <c r="BF1" s="208"/>
      <c r="BG1" s="208"/>
      <c r="BH1" s="208"/>
      <c r="BI1" s="208"/>
      <c r="BJ1" s="208"/>
      <c r="BK1" s="208"/>
      <c r="BL1" s="208"/>
      <c r="BM1" s="208"/>
      <c r="BN1" s="208"/>
      <c r="BO1" s="208"/>
      <c r="BP1" s="208"/>
      <c r="BQ1" s="208"/>
      <c r="BR1" s="208"/>
      <c r="BS1" s="208"/>
      <c r="BT1" s="75"/>
      <c r="BU1" s="75"/>
      <c r="BV1" s="75"/>
      <c r="BW1" s="75"/>
      <c r="BX1" s="75"/>
      <c r="BY1" s="75"/>
      <c r="BZ1" s="75"/>
      <c r="CA1" s="75"/>
      <c r="CB1" s="75"/>
      <c r="CC1" s="79"/>
    </row>
    <row r="2" spans="1:114" ht="17.100000000000001" customHeight="1" x14ac:dyDescent="0.25">
      <c r="A2" s="867" t="str">
        <f>IF(Sprache="English","article",IF(Sprache="Deutsch","Artikel",""))</f>
        <v>Artikel</v>
      </c>
      <c r="B2" s="789"/>
      <c r="C2" s="789"/>
      <c r="D2" s="411" t="str">
        <f>IF(Infos!B3&lt;&gt;"",Infos!B3,"")</f>
        <v/>
      </c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4"/>
      <c r="S2" s="44"/>
      <c r="AC2" s="430" t="s">
        <v>0</v>
      </c>
      <c r="AD2" s="431"/>
      <c r="AE2" s="234"/>
      <c r="AF2" s="406" t="str">
        <f>IF(Infos!B5&lt;&gt;"",Infos!B5,"")</f>
        <v/>
      </c>
      <c r="AG2" s="406"/>
      <c r="AH2" s="406"/>
      <c r="AI2" s="406"/>
      <c r="AJ2" s="406"/>
      <c r="AK2" s="406"/>
      <c r="AL2" s="136"/>
      <c r="AN2" s="208"/>
      <c r="AO2" s="208"/>
      <c r="AP2" s="208"/>
      <c r="AQ2" s="208"/>
      <c r="AR2" s="208"/>
      <c r="AS2" s="208"/>
      <c r="AT2" s="208"/>
      <c r="AU2" s="208"/>
      <c r="AV2" s="208"/>
      <c r="AW2" s="208"/>
      <c r="AX2" s="208"/>
      <c r="AY2" s="208"/>
      <c r="AZ2" s="208"/>
      <c r="BA2" s="208"/>
      <c r="BB2" s="208"/>
      <c r="BC2" s="208"/>
      <c r="BD2" s="208"/>
      <c r="BE2" s="208"/>
      <c r="BF2" s="208"/>
      <c r="BG2" s="208"/>
      <c r="BH2" s="208"/>
      <c r="BI2" s="208"/>
      <c r="BJ2" s="208"/>
      <c r="BK2" s="208"/>
      <c r="BL2" s="208"/>
      <c r="BM2" s="208"/>
      <c r="BN2" s="208"/>
      <c r="BO2" s="208"/>
      <c r="BP2" s="208"/>
      <c r="BQ2" s="208"/>
      <c r="BR2" s="208"/>
      <c r="BS2" s="208"/>
      <c r="BT2" s="75"/>
      <c r="BU2" s="75"/>
      <c r="BV2" s="75"/>
      <c r="BW2" s="75"/>
      <c r="BX2" s="75"/>
      <c r="BY2" s="75"/>
      <c r="BZ2" s="75"/>
      <c r="CA2" s="75"/>
      <c r="CB2" s="75"/>
      <c r="CC2" s="79"/>
    </row>
    <row r="3" spans="1:114" ht="17.100000000000001" customHeight="1" thickBot="1" x14ac:dyDescent="0.3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9"/>
      <c r="AN3" s="208"/>
      <c r="AO3" s="208"/>
      <c r="AP3" s="208"/>
      <c r="AQ3" s="208"/>
      <c r="AR3" s="208"/>
      <c r="AS3" s="208"/>
      <c r="AT3" s="208"/>
      <c r="AU3" s="208"/>
      <c r="AV3" s="208"/>
      <c r="AW3" s="208"/>
      <c r="AX3" s="208"/>
      <c r="AY3" s="208"/>
      <c r="AZ3" s="208"/>
      <c r="BA3" s="208"/>
      <c r="BB3" s="208"/>
      <c r="BC3" s="208"/>
      <c r="BD3" s="208"/>
      <c r="BE3" s="208"/>
      <c r="BF3" s="208"/>
      <c r="BG3" s="208"/>
      <c r="BH3" s="208"/>
      <c r="BI3" s="208"/>
      <c r="BJ3" s="208"/>
      <c r="BK3" s="208"/>
      <c r="BL3" s="208"/>
      <c r="BM3" s="208"/>
      <c r="BN3" s="208"/>
      <c r="BO3" s="208"/>
      <c r="BP3" s="208"/>
      <c r="BQ3" s="208"/>
      <c r="BR3" s="208"/>
      <c r="BS3" s="208"/>
      <c r="BT3" s="75"/>
      <c r="BU3" s="75"/>
      <c r="BV3" s="75"/>
      <c r="BW3" s="75"/>
      <c r="BX3" s="75"/>
      <c r="BY3" s="75"/>
      <c r="BZ3" s="75"/>
      <c r="CA3" s="75"/>
      <c r="CB3" s="75"/>
      <c r="CC3" s="79"/>
    </row>
    <row r="4" spans="1:114" ht="17.100000000000001" customHeight="1" x14ac:dyDescent="0.25">
      <c r="A4" s="492" t="str">
        <f>IF(Sprache="English","production equipment",IF(Sprache="Deutsch","Bertriebsmittel",""))</f>
        <v>Bertriebsmittel</v>
      </c>
      <c r="B4" s="473"/>
      <c r="C4" s="473"/>
      <c r="D4" s="473"/>
      <c r="E4" s="473"/>
      <c r="F4" s="473"/>
      <c r="G4" s="473"/>
      <c r="H4" s="127"/>
      <c r="I4" s="127"/>
      <c r="J4" s="127"/>
      <c r="K4" s="135"/>
      <c r="L4" s="794" t="str">
        <f>IF(Sprache="English","machine data",IF(Sprache="Deutsch","Maschinendaten",""))</f>
        <v>Maschinendaten</v>
      </c>
      <c r="M4" s="795"/>
      <c r="N4" s="795"/>
      <c r="O4" s="795"/>
      <c r="P4" s="127"/>
      <c r="Q4" s="127"/>
      <c r="R4" s="44"/>
      <c r="S4" s="44"/>
      <c r="T4" s="44"/>
      <c r="U4" s="44"/>
      <c r="V4" s="44"/>
      <c r="W4" s="44"/>
      <c r="X4" s="135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136"/>
      <c r="AN4" s="208"/>
      <c r="AO4" s="208"/>
      <c r="AP4" s="208"/>
      <c r="AQ4" s="208"/>
      <c r="AR4" s="208"/>
      <c r="AS4" s="208"/>
      <c r="AT4" s="208"/>
      <c r="AU4" s="208"/>
      <c r="AV4" s="208"/>
      <c r="AW4" s="208"/>
      <c r="AX4" s="208"/>
      <c r="AY4" s="208"/>
      <c r="AZ4" s="208"/>
      <c r="BA4" s="208"/>
      <c r="BB4" s="208"/>
      <c r="BC4" s="208"/>
      <c r="BD4" s="208" t="str">
        <f>AF1&amp;"#"&amp;AF2&amp;"#"&amp;E7&amp;"#"&amp;E6&amp;"#"&amp;R9&amp;"#"&amp;"Ruesthilfe_Produktion"</f>
        <v>#####Ruesthilfe_Produktion</v>
      </c>
      <c r="BE4" s="208"/>
      <c r="BF4" s="208"/>
      <c r="BG4" s="208"/>
      <c r="BH4" s="208"/>
      <c r="BI4" s="208"/>
      <c r="BJ4" s="208"/>
      <c r="BK4" s="208"/>
      <c r="BL4" s="208"/>
      <c r="BM4" s="208"/>
      <c r="BN4" s="208"/>
      <c r="BO4" s="208"/>
      <c r="BP4" s="208"/>
      <c r="BQ4" s="208"/>
      <c r="BR4" s="208"/>
      <c r="BS4" s="208"/>
      <c r="BT4" s="75"/>
      <c r="BU4" s="75"/>
      <c r="BV4" s="75"/>
      <c r="BW4" s="75"/>
      <c r="BX4" s="75"/>
      <c r="BY4" s="75"/>
      <c r="BZ4" s="75"/>
      <c r="CA4" s="75"/>
      <c r="CB4" s="75"/>
      <c r="CC4" s="79"/>
    </row>
    <row r="5" spans="1:114" ht="17.100000000000001" customHeight="1" x14ac:dyDescent="0.25">
      <c r="A5" s="220"/>
      <c r="B5" s="221"/>
      <c r="C5" s="221"/>
      <c r="D5" s="221"/>
      <c r="E5" s="221"/>
      <c r="F5" s="221"/>
      <c r="G5" s="221"/>
      <c r="H5" s="44"/>
      <c r="I5" s="44"/>
      <c r="J5" s="44"/>
      <c r="K5" s="136"/>
      <c r="L5" s="177"/>
      <c r="M5" s="177"/>
      <c r="N5" s="177"/>
      <c r="O5" s="177"/>
      <c r="P5" s="44"/>
      <c r="Q5" s="44"/>
      <c r="R5" s="44"/>
      <c r="S5" s="44"/>
      <c r="T5" s="44"/>
      <c r="U5" s="44"/>
      <c r="V5" s="44"/>
      <c r="W5" s="44"/>
      <c r="X5" s="136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136"/>
      <c r="AN5" s="208"/>
      <c r="AO5" s="208"/>
      <c r="AP5" s="208"/>
      <c r="AQ5" s="208"/>
      <c r="AR5" s="208"/>
      <c r="AS5" s="208"/>
      <c r="AT5" s="208"/>
      <c r="AU5" s="208"/>
      <c r="AV5" s="208"/>
      <c r="AW5" s="208"/>
      <c r="AX5" s="208"/>
      <c r="AY5" s="208"/>
      <c r="AZ5" s="208"/>
      <c r="BA5" s="208"/>
      <c r="BB5" s="208"/>
      <c r="BC5" s="208"/>
      <c r="BD5" s="891"/>
      <c r="BE5" s="891"/>
      <c r="BF5" s="891"/>
      <c r="BG5" s="891"/>
      <c r="BH5" s="891"/>
      <c r="BI5" s="891"/>
      <c r="BJ5" s="891"/>
      <c r="BK5" s="891"/>
      <c r="BL5" s="891"/>
      <c r="BM5" s="891"/>
      <c r="BN5" s="891"/>
      <c r="BO5" s="891"/>
      <c r="BP5" s="891"/>
      <c r="BQ5" s="891"/>
      <c r="BR5" s="891"/>
      <c r="BS5" s="891"/>
      <c r="BT5" s="75"/>
      <c r="BU5" s="75"/>
      <c r="BV5" s="75"/>
      <c r="BW5" s="75"/>
      <c r="BX5" s="75"/>
      <c r="BY5" s="75"/>
      <c r="BZ5" s="75"/>
      <c r="CA5" s="75"/>
      <c r="CB5" s="75"/>
      <c r="CC5" s="79"/>
    </row>
    <row r="6" spans="1:114" ht="17.100000000000001" customHeight="1" x14ac:dyDescent="0.25">
      <c r="A6" s="867" t="str">
        <f>IF(Sprache="English","machine",IF(Sprache="Deutsch","Maschine",""))</f>
        <v>Maschine</v>
      </c>
      <c r="B6" s="873"/>
      <c r="C6" s="789"/>
      <c r="E6" s="866" t="str">
        <f>IF(Infos!D3&lt;&gt;"",Infos!D3,"")</f>
        <v/>
      </c>
      <c r="F6" s="866"/>
      <c r="G6" s="866"/>
      <c r="H6" s="866"/>
      <c r="I6" s="866"/>
      <c r="K6" s="160"/>
      <c r="M6" s="874" t="str">
        <f>IF(Sprache="English","barrel 1",IF(Sprache="Deutsch","Aggregat 1",""))</f>
        <v>Aggregat 1</v>
      </c>
      <c r="N6" s="874"/>
      <c r="O6" s="874"/>
      <c r="P6" s="874"/>
      <c r="Y6" s="157"/>
      <c r="Z6" s="874" t="str">
        <f>IF(Sprache="English","barrel 2",IF(Sprache="Deutsch","Aggregat 2",""))</f>
        <v>Aggregat 2</v>
      </c>
      <c r="AA6" s="874"/>
      <c r="AB6" s="874"/>
      <c r="AC6" s="874"/>
      <c r="AL6" s="160"/>
      <c r="AN6" s="830" t="s">
        <v>121</v>
      </c>
      <c r="AO6" s="830"/>
      <c r="AP6" s="830"/>
      <c r="AQ6" s="830"/>
      <c r="AR6" s="830"/>
      <c r="AS6" s="830"/>
      <c r="AT6" s="830"/>
      <c r="AU6" s="830"/>
      <c r="AV6" s="830"/>
      <c r="AW6" s="830"/>
      <c r="AX6" s="830"/>
      <c r="AY6" s="830"/>
      <c r="AZ6" s="830"/>
      <c r="BA6" s="830"/>
      <c r="BB6" s="830"/>
      <c r="BC6" s="830"/>
      <c r="BD6" s="830"/>
      <c r="BE6" s="830"/>
      <c r="BF6" s="830"/>
      <c r="BG6" s="830"/>
      <c r="BH6" s="208"/>
      <c r="BI6" s="208"/>
      <c r="BJ6" s="208"/>
      <c r="BK6" s="208"/>
      <c r="BL6" s="208"/>
      <c r="BM6" s="208"/>
      <c r="BN6" s="208"/>
      <c r="BO6" s="208"/>
      <c r="BP6" s="208"/>
      <c r="BQ6" s="208"/>
      <c r="BR6" s="208"/>
      <c r="BS6" s="208"/>
      <c r="BT6" s="75"/>
      <c r="BU6" s="75"/>
      <c r="BV6" s="75"/>
      <c r="BW6" s="75"/>
      <c r="BX6" s="75"/>
      <c r="BY6" s="75"/>
      <c r="BZ6" s="75"/>
      <c r="CA6" s="75"/>
      <c r="CB6" s="75"/>
      <c r="CC6" s="79"/>
    </row>
    <row r="7" spans="1:114" ht="17.100000000000001" customHeight="1" thickBot="1" x14ac:dyDescent="0.3">
      <c r="A7" s="593" t="str">
        <f>IF(Sprache="English","mold number",IF(Sprache="Deutsch","WE Nr:",""))</f>
        <v>WE Nr:</v>
      </c>
      <c r="B7" s="430"/>
      <c r="C7" s="430"/>
      <c r="E7" s="865" t="str">
        <f>IF(Infos!D2&lt;&gt;"",Infos!D2,"")</f>
        <v/>
      </c>
      <c r="F7" s="865"/>
      <c r="G7" s="865"/>
      <c r="H7" s="865"/>
      <c r="I7" s="865"/>
      <c r="K7" s="160"/>
      <c r="M7" s="431" t="str">
        <f>IF(Sprache="English","nozzle Ø / length",IF(Sprache="Deutsch","Düsen Ø/Länge",""))</f>
        <v>Düsen Ø/Länge</v>
      </c>
      <c r="N7" s="431"/>
      <c r="O7" s="431"/>
      <c r="P7" s="431"/>
      <c r="Q7" s="868"/>
      <c r="R7" s="178" t="s">
        <v>78</v>
      </c>
      <c r="S7" s="869">
        <f>IF(Einstellrichtwerte!V5&lt;&gt;"",Einstellrichtwerte!V5,"")</f>
        <v>6</v>
      </c>
      <c r="T7" s="870"/>
      <c r="U7" s="871">
        <f>IF(Einstellrichtwerte!X5&lt;&gt;"",Einstellrichtwerte!X5,"")</f>
        <v>20</v>
      </c>
      <c r="V7" s="872"/>
      <c r="W7" s="872"/>
      <c r="X7" s="160"/>
      <c r="Z7" s="431" t="str">
        <f>IF(Sprache="English","nozzle Ø / length",IF(Sprache="Deutsch","Düsen Ø/Länge",""))</f>
        <v>Düsen Ø/Länge</v>
      </c>
      <c r="AA7" s="431"/>
      <c r="AB7" s="431"/>
      <c r="AC7" s="431"/>
      <c r="AD7" s="868"/>
      <c r="AE7" s="178" t="s">
        <v>78</v>
      </c>
      <c r="AF7" s="869" t="str">
        <f>IF('Aggregat 2'!G3&lt;&gt;"",'Aggregat 2'!G3,"")</f>
        <v/>
      </c>
      <c r="AG7" s="870"/>
      <c r="AH7" s="871" t="str">
        <f>IF('Aggregat 2'!I3&lt;&gt;"",'Aggregat 2'!I3,"")</f>
        <v/>
      </c>
      <c r="AI7" s="872"/>
      <c r="AJ7" s="872"/>
      <c r="AK7" s="223"/>
      <c r="AL7" s="160"/>
      <c r="AN7" s="208"/>
      <c r="AO7" s="208"/>
      <c r="AP7" s="208"/>
      <c r="AQ7" s="208"/>
      <c r="AR7" s="208"/>
      <c r="AS7" s="208"/>
      <c r="AT7" s="208"/>
      <c r="AU7" s="208"/>
      <c r="AV7" s="208"/>
      <c r="AW7" s="208"/>
      <c r="AX7" s="208"/>
      <c r="AY7" s="208"/>
      <c r="AZ7" s="208"/>
      <c r="BA7" s="208"/>
      <c r="BB7" s="208"/>
      <c r="BC7" s="208"/>
      <c r="BD7" s="208"/>
      <c r="BE7" s="208"/>
      <c r="BF7" s="208"/>
      <c r="BG7" s="208"/>
      <c r="BH7" s="208"/>
      <c r="BI7" s="208"/>
      <c r="BJ7" s="208"/>
      <c r="BK7" s="208"/>
      <c r="BL7" s="208"/>
      <c r="BM7" s="208"/>
      <c r="BN7" s="208"/>
      <c r="BO7" s="208"/>
      <c r="BP7" s="208"/>
      <c r="BQ7" s="208"/>
      <c r="BR7" s="208"/>
      <c r="BS7" s="209"/>
      <c r="BT7" s="202"/>
      <c r="BU7" s="202"/>
      <c r="BV7" s="202"/>
      <c r="BW7" s="202"/>
      <c r="BX7" s="202"/>
      <c r="BY7" s="202"/>
      <c r="BZ7" s="202"/>
      <c r="CA7" s="202"/>
      <c r="CB7" s="202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4"/>
      <c r="DJ7" s="44"/>
    </row>
    <row r="8" spans="1:114" ht="17.100000000000001" customHeight="1" thickBot="1" x14ac:dyDescent="0.45">
      <c r="A8" s="791" t="str">
        <f>IF(Sprache="English","number of cavities",IF(Sprache="Deutsch","Kavitätenzahl",""))</f>
        <v>Kavitätenzahl</v>
      </c>
      <c r="B8" s="431"/>
      <c r="C8" s="431"/>
      <c r="D8" s="431"/>
      <c r="E8" s="790" t="str">
        <f>IF(Einstellrichtwerte!G6&lt;&gt;"",Einstellrichtwerte!G6,"")</f>
        <v/>
      </c>
      <c r="F8" s="790"/>
      <c r="G8" s="790"/>
      <c r="H8" s="790"/>
      <c r="I8" s="790"/>
      <c r="K8" s="160"/>
      <c r="M8" s="431" t="str">
        <f>IF(Sprache="English","nozzle type",IF(Sprache="Deutsch","Düsenart",""))</f>
        <v>Düsenart</v>
      </c>
      <c r="N8" s="431"/>
      <c r="O8" s="431"/>
      <c r="P8" s="431"/>
      <c r="R8" s="875" t="str">
        <f>IF(Einstellrichtwerte!U6&lt;&gt;"",Einstellrichtwerte!U6,"")</f>
        <v>Filterdüse 0.2mm</v>
      </c>
      <c r="S8" s="876"/>
      <c r="T8" s="876"/>
      <c r="U8" s="876"/>
      <c r="V8" s="876"/>
      <c r="W8" s="876"/>
      <c r="X8" s="160"/>
      <c r="Z8" s="234" t="str">
        <f>IF(Sprache="English","nozzle type",IF(Sprache="Deutsch","Düsenart",""))</f>
        <v>Düsenart</v>
      </c>
      <c r="AA8" s="234"/>
      <c r="AB8" s="234"/>
      <c r="AC8" s="234"/>
      <c r="AE8" s="897" t="str">
        <f>IF('Aggregat 2'!F4&lt;&gt;"",'Aggregat 2'!F4,"")</f>
        <v/>
      </c>
      <c r="AF8" s="898"/>
      <c r="AG8" s="898"/>
      <c r="AH8" s="898"/>
      <c r="AI8" s="898"/>
      <c r="AJ8" s="899"/>
      <c r="AL8" s="160"/>
      <c r="AN8" s="830" t="s">
        <v>116</v>
      </c>
      <c r="AO8" s="830"/>
      <c r="AP8" s="830"/>
      <c r="AQ8" s="830"/>
      <c r="AR8" s="830"/>
      <c r="AS8" s="830"/>
      <c r="AT8" s="830"/>
      <c r="AU8" s="830"/>
      <c r="AV8" s="830"/>
      <c r="AW8" s="830"/>
      <c r="AX8" s="830"/>
      <c r="AY8" s="208"/>
      <c r="AZ8" s="208"/>
      <c r="BA8" s="208"/>
      <c r="BB8" s="208"/>
      <c r="BC8" s="210" t="s">
        <v>124</v>
      </c>
      <c r="BD8" s="210"/>
      <c r="BE8" s="210"/>
      <c r="BF8" s="208"/>
      <c r="BG8" s="208"/>
      <c r="BH8" s="208"/>
      <c r="BI8" s="208"/>
      <c r="BJ8" s="208"/>
      <c r="BK8" s="208"/>
      <c r="BL8" s="208"/>
      <c r="BM8" s="208"/>
      <c r="BN8" s="208"/>
      <c r="BO8" s="208"/>
      <c r="BP8" s="208"/>
      <c r="BQ8" s="208"/>
      <c r="BR8" s="208"/>
      <c r="BS8" s="209"/>
      <c r="BT8" s="134"/>
      <c r="BU8" s="134"/>
      <c r="BV8" s="134"/>
      <c r="BW8" s="134"/>
      <c r="BX8" s="134"/>
      <c r="BY8" s="202"/>
      <c r="BZ8" s="202"/>
      <c r="CA8" s="202"/>
      <c r="CB8" s="202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</row>
    <row r="9" spans="1:114" ht="17.100000000000001" customHeight="1" x14ac:dyDescent="0.4">
      <c r="A9" s="791" t="str">
        <f>IF(Sprache="English","number of cores",IF(Sprache="Deutsch","Kernzüge",""))</f>
        <v>Kernzüge</v>
      </c>
      <c r="B9" s="431"/>
      <c r="C9" s="431"/>
      <c r="D9" s="431"/>
      <c r="E9" s="790" t="str">
        <f>IF(Einstellrichtwerte!G7&lt;&gt;"",Einstellrichtwerte!G7,"")</f>
        <v>keine</v>
      </c>
      <c r="F9" s="790"/>
      <c r="G9" s="790"/>
      <c r="H9" s="790"/>
      <c r="I9" s="790"/>
      <c r="K9" s="160"/>
      <c r="M9" s="431" t="str">
        <f>IF(Sprache="English","barrel Ø",IF(Sprache="Deutsch","Zylinder",""))</f>
        <v>Zylinder</v>
      </c>
      <c r="N9" s="431"/>
      <c r="O9" s="431"/>
      <c r="P9" s="431"/>
      <c r="R9" s="802" t="str">
        <f>IF(Infos!D7&lt;&gt;"",Infos!D7,"")</f>
        <v/>
      </c>
      <c r="S9" s="803"/>
      <c r="T9" s="803"/>
      <c r="U9" s="803"/>
      <c r="V9" s="803"/>
      <c r="W9" s="804"/>
      <c r="X9" s="160"/>
      <c r="Z9" s="234" t="str">
        <f>IF(Sprache="English","barrel Ø",IF(Sprache="Deutsch","Zylinder",""))</f>
        <v>Zylinder</v>
      </c>
      <c r="AA9" s="234"/>
      <c r="AB9" s="234"/>
      <c r="AC9" s="234"/>
      <c r="AE9" s="894" t="str">
        <f>IF('Aggregat 2'!F5&lt;&gt;"",'Aggregat 2'!F5,"")</f>
        <v/>
      </c>
      <c r="AF9" s="895"/>
      <c r="AG9" s="895"/>
      <c r="AH9" s="895"/>
      <c r="AI9" s="895"/>
      <c r="AJ9" s="896"/>
      <c r="AL9" s="160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10" t="s">
        <v>142</v>
      </c>
      <c r="BD9" s="210"/>
      <c r="BE9" s="210"/>
      <c r="BF9" s="208"/>
      <c r="BG9" s="208"/>
      <c r="BH9" s="208"/>
      <c r="BI9" s="208"/>
      <c r="BJ9" s="208"/>
      <c r="BK9" s="208"/>
      <c r="BL9" s="208"/>
      <c r="BM9" s="208"/>
      <c r="BN9" s="208"/>
      <c r="BO9" s="208"/>
      <c r="BP9" s="208"/>
      <c r="BQ9" s="208"/>
      <c r="BR9" s="208"/>
      <c r="BS9" s="209"/>
      <c r="BT9" s="134"/>
      <c r="BU9" s="134"/>
      <c r="BV9" s="134"/>
      <c r="BW9" s="134"/>
      <c r="BX9" s="134"/>
      <c r="BY9" s="202"/>
      <c r="BZ9" s="202"/>
      <c r="CA9" s="202"/>
      <c r="CB9" s="202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  <c r="CX9" s="44"/>
      <c r="CY9" s="44"/>
      <c r="CZ9" s="44"/>
      <c r="DA9" s="44"/>
      <c r="DB9" s="44"/>
      <c r="DC9" s="44"/>
      <c r="DD9" s="44"/>
      <c r="DE9" s="44"/>
      <c r="DF9" s="44"/>
      <c r="DG9" s="44"/>
      <c r="DH9" s="44"/>
      <c r="DI9" s="44"/>
      <c r="DJ9" s="44"/>
    </row>
    <row r="10" spans="1:114" ht="17.100000000000001" customHeight="1" thickBot="1" x14ac:dyDescent="0.3">
      <c r="A10" s="788" t="s">
        <v>29</v>
      </c>
      <c r="B10" s="789"/>
      <c r="C10" s="789"/>
      <c r="D10" s="44"/>
      <c r="E10" s="790" t="str">
        <f>IF(Einstellrichtwerte!AI6&lt;&gt;"",Einstellrichtwerte!AI6,"")</f>
        <v/>
      </c>
      <c r="F10" s="790"/>
      <c r="G10" s="790"/>
      <c r="H10" s="790"/>
      <c r="I10" s="790"/>
      <c r="K10" s="160"/>
      <c r="M10" s="431" t="str">
        <f>IF(Sprache="English","barrel",IF(Sprache="Deutsch","Aggregat",""))</f>
        <v>Aggregat</v>
      </c>
      <c r="N10" s="431"/>
      <c r="O10" s="431"/>
      <c r="P10" s="234"/>
      <c r="R10" s="828" t="str">
        <f>IF(Einstellrichtwerte!AI5&lt;&gt;"",Einstellrichtwerte!AI5,"")</f>
        <v>zentrisch</v>
      </c>
      <c r="S10" s="829"/>
      <c r="T10" s="829"/>
      <c r="U10" s="829"/>
      <c r="V10" s="829"/>
      <c r="W10" s="829"/>
      <c r="X10" s="160"/>
      <c r="Z10" s="431" t="str">
        <f>IF(Sprache="English","barrel",IF(Sprache="Deutsch","Aggregat",""))</f>
        <v>Aggregat</v>
      </c>
      <c r="AA10" s="431"/>
      <c r="AB10" s="431"/>
      <c r="AC10" s="234"/>
      <c r="AE10" s="900" t="str">
        <f>IF('Aggregat 2'!S3&lt;&gt;"",'Aggregat 2'!S3,"")</f>
        <v/>
      </c>
      <c r="AF10" s="901"/>
      <c r="AG10" s="901"/>
      <c r="AH10" s="901"/>
      <c r="AI10" s="901"/>
      <c r="AJ10" s="902"/>
      <c r="AL10" s="136"/>
      <c r="AN10" s="208"/>
      <c r="AO10" s="208"/>
      <c r="AP10" s="208"/>
      <c r="AQ10" s="208"/>
      <c r="AR10" s="208"/>
      <c r="AS10" s="208"/>
      <c r="AT10" s="208"/>
      <c r="AU10" s="208"/>
      <c r="AV10" s="208"/>
      <c r="AW10" s="208"/>
      <c r="AX10" s="208"/>
      <c r="AY10" s="208"/>
      <c r="AZ10" s="208"/>
      <c r="BA10" s="208"/>
      <c r="BB10" s="208"/>
      <c r="BC10" s="208"/>
      <c r="BD10" s="208"/>
      <c r="BE10" s="208"/>
      <c r="BF10" s="208"/>
      <c r="BG10" s="208"/>
      <c r="BH10" s="208"/>
      <c r="BI10" s="208"/>
      <c r="BJ10" s="208"/>
      <c r="BK10" s="208"/>
      <c r="BL10" s="208"/>
      <c r="BM10" s="208"/>
      <c r="BN10" s="208"/>
      <c r="BO10" s="208"/>
      <c r="BP10" s="208"/>
      <c r="BQ10" s="208"/>
      <c r="BR10" s="208"/>
      <c r="BS10" s="209"/>
      <c r="BT10" s="202"/>
      <c r="BU10" s="202"/>
      <c r="BV10" s="202"/>
      <c r="BW10" s="202"/>
      <c r="BX10" s="202"/>
      <c r="BY10" s="202"/>
      <c r="BZ10" s="202"/>
      <c r="CA10" s="202"/>
      <c r="CB10" s="202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  <c r="DF10" s="44"/>
      <c r="DG10" s="44"/>
      <c r="DH10" s="44"/>
      <c r="DI10" s="44"/>
      <c r="DJ10" s="44"/>
    </row>
    <row r="11" spans="1:114" ht="17.100000000000001" customHeight="1" thickBot="1" x14ac:dyDescent="0.3">
      <c r="A11" s="791" t="str">
        <f>IF(Sprache="English","gripper number",IF(Sprache="Deutsch","Greifer Nr.",""))</f>
        <v>Greifer Nr.</v>
      </c>
      <c r="B11" s="431"/>
      <c r="C11" s="431"/>
      <c r="D11" s="44"/>
      <c r="E11" s="790" t="str">
        <f>IF(Einstellrichtwerte!AI7&lt;&gt;"",Einstellrichtwerte!AI7,"")</f>
        <v/>
      </c>
      <c r="F11" s="790"/>
      <c r="G11" s="790"/>
      <c r="H11" s="790"/>
      <c r="I11" s="790"/>
      <c r="K11" s="160"/>
      <c r="X11" s="160"/>
      <c r="Z11" s="917" t="str">
        <f>IF(Sprache="English","sequence",IF(Sprache="Deutsch","Reihenfolge",""))</f>
        <v>Reihenfolge</v>
      </c>
      <c r="AA11" s="917"/>
      <c r="AB11" s="917"/>
      <c r="AC11" s="917"/>
      <c r="AE11" s="434"/>
      <c r="AF11" s="435"/>
      <c r="AG11" s="435"/>
      <c r="AH11" s="435"/>
      <c r="AI11" s="435"/>
      <c r="AJ11" s="436"/>
      <c r="AK11" s="44"/>
      <c r="AL11" s="136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/>
      <c r="BO11" s="208"/>
      <c r="BP11" s="208"/>
      <c r="BQ11" s="208"/>
      <c r="BR11" s="208"/>
      <c r="BS11" s="208"/>
      <c r="BT11" s="75"/>
      <c r="BU11" s="75"/>
      <c r="BV11" s="75"/>
      <c r="BW11" s="75"/>
      <c r="BX11" s="75"/>
      <c r="BY11" s="75"/>
      <c r="BZ11" s="75"/>
      <c r="CA11" s="75"/>
      <c r="CB11" s="75"/>
      <c r="CC11" s="79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4"/>
    </row>
    <row r="12" spans="1:114" ht="17.100000000000001" customHeight="1" thickBot="1" x14ac:dyDescent="0.3">
      <c r="A12" s="299"/>
      <c r="B12" s="234"/>
      <c r="C12" s="234"/>
      <c r="D12" s="44"/>
      <c r="E12" s="44"/>
      <c r="F12" s="44"/>
      <c r="G12" s="44"/>
      <c r="H12" s="44"/>
      <c r="I12" s="44"/>
      <c r="J12" s="44"/>
      <c r="K12" s="159"/>
      <c r="L12" s="137"/>
      <c r="M12" s="138"/>
      <c r="N12" s="138"/>
      <c r="O12" s="44"/>
      <c r="P12" s="44"/>
      <c r="Q12" s="44"/>
      <c r="R12" s="44"/>
      <c r="S12" s="44"/>
      <c r="T12" s="44"/>
      <c r="U12" s="44"/>
      <c r="V12" s="44"/>
      <c r="W12" s="44"/>
      <c r="X12" s="139"/>
      <c r="Y12" s="44"/>
      <c r="Z12" s="44"/>
      <c r="AA12" s="44"/>
      <c r="AB12" s="44"/>
      <c r="AC12" s="44"/>
      <c r="AD12" s="44"/>
      <c r="AE12" s="44"/>
      <c r="AF12" s="44"/>
      <c r="AG12" s="138"/>
      <c r="AH12" s="138"/>
      <c r="AI12" s="138"/>
      <c r="AJ12" s="138"/>
      <c r="AK12" s="138"/>
      <c r="AL12" s="139"/>
      <c r="AN12" s="208"/>
      <c r="AO12" s="208"/>
      <c r="AP12" s="208"/>
      <c r="AQ12" s="208"/>
      <c r="AR12" s="208"/>
      <c r="AS12" s="208"/>
      <c r="AT12" s="208"/>
      <c r="AU12" s="208"/>
      <c r="AV12" s="208"/>
      <c r="AW12" s="208"/>
      <c r="AX12" s="208"/>
      <c r="AY12" s="208"/>
      <c r="AZ12" s="208"/>
      <c r="BA12" s="208"/>
      <c r="BB12" s="208"/>
      <c r="BC12" s="208"/>
      <c r="BD12" s="208"/>
      <c r="BE12" s="208"/>
      <c r="BF12" s="208"/>
      <c r="BG12" s="208"/>
      <c r="BH12" s="208"/>
      <c r="BI12" s="208"/>
      <c r="BJ12" s="208"/>
      <c r="BK12" s="208"/>
      <c r="BL12" s="208"/>
      <c r="BM12" s="208"/>
      <c r="BN12" s="208"/>
      <c r="BO12" s="208"/>
      <c r="BP12" s="208"/>
      <c r="BQ12" s="208"/>
      <c r="BR12" s="208"/>
      <c r="BS12" s="208"/>
      <c r="BT12" s="75"/>
      <c r="BU12" s="75"/>
      <c r="BV12" s="75"/>
      <c r="BW12" s="75"/>
      <c r="BX12" s="75"/>
      <c r="BY12" s="75"/>
      <c r="BZ12" s="75"/>
      <c r="CA12" s="75"/>
      <c r="CB12" s="75"/>
      <c r="CC12" s="79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</row>
    <row r="13" spans="1:114" ht="17.100000000000001" customHeight="1" thickBot="1" x14ac:dyDescent="0.3">
      <c r="A13" s="794" t="s">
        <v>1</v>
      </c>
      <c r="B13" s="795"/>
      <c r="C13" s="179"/>
      <c r="D13" s="179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L13" s="136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8"/>
      <c r="BN13" s="208"/>
      <c r="BO13" s="208"/>
      <c r="BP13" s="208"/>
      <c r="BQ13" s="208"/>
      <c r="BR13" s="208"/>
      <c r="BS13" s="208"/>
      <c r="BT13" s="75"/>
      <c r="BU13" s="75"/>
      <c r="BV13" s="75"/>
      <c r="BW13" s="75"/>
      <c r="BX13" s="75"/>
      <c r="BY13" s="75"/>
      <c r="BZ13" s="75"/>
      <c r="CA13" s="75"/>
      <c r="CB13" s="75"/>
      <c r="CC13" s="79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44"/>
      <c r="DC13" s="44"/>
      <c r="DD13" s="44"/>
      <c r="DE13" s="44"/>
      <c r="DF13" s="44"/>
      <c r="DG13" s="44"/>
      <c r="DH13" s="44"/>
      <c r="DI13" s="44"/>
      <c r="DJ13" s="44"/>
    </row>
    <row r="14" spans="1:114" ht="17.100000000000001" customHeight="1" thickBot="1" x14ac:dyDescent="0.3">
      <c r="A14" s="157"/>
      <c r="B14" s="806"/>
      <c r="C14" s="806"/>
      <c r="D14" s="806"/>
      <c r="E14" s="807"/>
      <c r="F14" s="799" t="s">
        <v>127</v>
      </c>
      <c r="G14" s="799"/>
      <c r="H14" s="799"/>
      <c r="I14" s="800"/>
      <c r="J14" s="801" t="str">
        <f>IF(Sprache="English","description",IF(Sprache="Deutsch","Bezeichnung",""))</f>
        <v>Bezeichnung</v>
      </c>
      <c r="K14" s="801"/>
      <c r="L14" s="801"/>
      <c r="M14" s="801"/>
      <c r="N14" s="801"/>
      <c r="O14" s="801"/>
      <c r="P14" s="801"/>
      <c r="Q14" s="801"/>
      <c r="R14" s="801"/>
      <c r="S14" s="801"/>
      <c r="T14" s="801"/>
      <c r="U14" s="801"/>
      <c r="V14" s="805" t="str">
        <f>IF(Sprache="English","drying time (h)",IF(Sprache="Deutsch","Trocknungszeit (h)",""))</f>
        <v>Trocknungszeit (h)</v>
      </c>
      <c r="W14" s="799"/>
      <c r="X14" s="799"/>
      <c r="Y14" s="800"/>
      <c r="Z14" s="805" t="str">
        <f>IF(Sprache="English","drying temp (°C)",IF(Sprache="Deutsch","Trocknungtemp. (°C)",""))</f>
        <v>Trocknungtemp. (°C)</v>
      </c>
      <c r="AA14" s="799"/>
      <c r="AB14" s="799"/>
      <c r="AC14" s="799"/>
      <c r="AD14" s="800"/>
      <c r="AE14" s="799" t="str">
        <f>IF(Sprache="English","amount (%)",IF(Sprache="Deutsch","Anteil (%)",""))</f>
        <v>Anteil (%)</v>
      </c>
      <c r="AF14" s="799"/>
      <c r="AG14" s="800"/>
      <c r="AH14" s="805" t="str">
        <f>IF(Sprache="English","coloring device",IF(Sprache="Deutsch","Einfärbgerät",""))</f>
        <v>Einfärbgerät</v>
      </c>
      <c r="AI14" s="799"/>
      <c r="AJ14" s="799"/>
      <c r="AK14" s="893"/>
      <c r="AL14" s="160"/>
      <c r="AM14" s="157"/>
      <c r="AN14" s="830" t="s">
        <v>117</v>
      </c>
      <c r="AO14" s="830"/>
      <c r="AP14" s="830"/>
      <c r="AQ14" s="830"/>
      <c r="AR14" s="830"/>
      <c r="AS14" s="830"/>
      <c r="AT14" s="830"/>
      <c r="AU14" s="830"/>
      <c r="AV14" s="208"/>
      <c r="AW14" s="208"/>
      <c r="AX14" s="208"/>
      <c r="AY14" s="208"/>
      <c r="AZ14" s="208"/>
      <c r="BA14" s="208"/>
      <c r="BB14" s="208"/>
      <c r="BC14" s="208"/>
      <c r="BD14" s="208"/>
      <c r="BE14" s="208"/>
      <c r="BF14" s="208"/>
      <c r="BG14" s="208"/>
      <c r="BH14" s="211"/>
      <c r="BI14" s="208"/>
      <c r="BJ14" s="208"/>
      <c r="BK14" s="208"/>
      <c r="BL14" s="208"/>
      <c r="BM14" s="208"/>
      <c r="BN14" s="208"/>
      <c r="BO14" s="208"/>
      <c r="BP14" s="208"/>
      <c r="BQ14" s="208"/>
      <c r="BR14" s="208"/>
      <c r="BS14" s="208"/>
      <c r="BT14" s="75"/>
      <c r="BU14" s="75"/>
      <c r="BV14" s="75"/>
      <c r="BW14" s="75"/>
      <c r="BX14" s="75"/>
      <c r="BY14" s="75"/>
      <c r="BZ14" s="75"/>
      <c r="CA14" s="75"/>
      <c r="CB14" s="75"/>
      <c r="CC14" s="79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4"/>
      <c r="DJ14" s="44"/>
    </row>
    <row r="15" spans="1:114" ht="17.100000000000001" customHeight="1" x14ac:dyDescent="0.25">
      <c r="A15" s="157"/>
      <c r="B15" s="842" t="str">
        <f>IF(Sprache="English","barrel 1",IF(Sprache="Deutsch","Aggregat 1",""))</f>
        <v>Aggregat 1</v>
      </c>
      <c r="C15" s="799"/>
      <c r="D15" s="799"/>
      <c r="E15" s="800"/>
      <c r="F15" s="797" t="str">
        <f>IF(Einstellrichtwerte!I12&lt;&gt;"",Einstellrichtwerte!I12,"")</f>
        <v/>
      </c>
      <c r="G15" s="797"/>
      <c r="H15" s="797"/>
      <c r="I15" s="797"/>
      <c r="J15" s="796" t="str">
        <f>IF(Einstellrichtwerte!I11&lt;&gt;"",Einstellrichtwerte!I11,"")</f>
        <v/>
      </c>
      <c r="K15" s="797"/>
      <c r="L15" s="797"/>
      <c r="M15" s="797"/>
      <c r="N15" s="797"/>
      <c r="O15" s="797"/>
      <c r="P15" s="797"/>
      <c r="Q15" s="797"/>
      <c r="R15" s="797"/>
      <c r="S15" s="797"/>
      <c r="T15" s="797"/>
      <c r="U15" s="798"/>
      <c r="V15" s="796" t="str">
        <f>IF(Einstellrichtwerte!I14&lt;&gt;"",Einstellrichtwerte!I14,"")</f>
        <v/>
      </c>
      <c r="W15" s="797"/>
      <c r="X15" s="797"/>
      <c r="Y15" s="798"/>
      <c r="Z15" s="796" t="str">
        <f>IF(Einstellrichtwerte!K14&lt;&gt;"",Einstellrichtwerte!K14,"")</f>
        <v/>
      </c>
      <c r="AA15" s="797"/>
      <c r="AB15" s="797"/>
      <c r="AC15" s="797"/>
      <c r="AD15" s="798"/>
      <c r="AE15" s="909"/>
      <c r="AF15" s="910"/>
      <c r="AG15" s="910"/>
      <c r="AH15" s="910"/>
      <c r="AI15" s="910"/>
      <c r="AJ15" s="910"/>
      <c r="AK15" s="911"/>
      <c r="AL15" s="160"/>
      <c r="AM15" s="157"/>
      <c r="AN15" s="208"/>
      <c r="AO15" s="208"/>
      <c r="AP15" s="208"/>
      <c r="AQ15" s="208"/>
      <c r="AR15" s="208"/>
      <c r="AS15" s="208"/>
      <c r="AT15" s="208"/>
      <c r="AU15" s="208"/>
      <c r="AV15" s="208"/>
      <c r="AW15" s="208"/>
      <c r="AX15" s="208"/>
      <c r="AY15" s="208"/>
      <c r="AZ15" s="208"/>
      <c r="BA15" s="208"/>
      <c r="BB15" s="208"/>
      <c r="BC15" s="208"/>
      <c r="BD15" s="208"/>
      <c r="BE15" s="208"/>
      <c r="BF15" s="208"/>
      <c r="BG15" s="208"/>
      <c r="BH15" s="212"/>
      <c r="BI15" s="208"/>
      <c r="BJ15" s="208"/>
      <c r="BK15" s="208"/>
      <c r="BL15" s="208"/>
      <c r="BM15" s="208"/>
      <c r="BN15" s="208"/>
      <c r="BO15" s="208"/>
      <c r="BP15" s="208"/>
      <c r="BQ15" s="208"/>
      <c r="BR15" s="208"/>
      <c r="BS15" s="208"/>
      <c r="BT15" s="75"/>
      <c r="BU15" s="75"/>
      <c r="BV15" s="75"/>
      <c r="BW15" s="75"/>
      <c r="BX15" s="75"/>
      <c r="BY15" s="75"/>
      <c r="BZ15" s="75"/>
      <c r="CA15" s="75"/>
      <c r="CB15" s="75"/>
      <c r="CC15" s="79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/>
      <c r="DE15" s="44"/>
      <c r="DF15" s="44"/>
      <c r="DG15" s="44"/>
      <c r="DH15" s="44"/>
      <c r="DI15" s="44"/>
      <c r="DJ15" s="44"/>
    </row>
    <row r="16" spans="1:114" ht="17.100000000000001" customHeight="1" x14ac:dyDescent="0.25">
      <c r="A16" s="157"/>
      <c r="B16" s="832" t="str">
        <f>IF(Sprache="English","barrel 1",IF(Sprache="Deutsch","Aggregat 1",""))</f>
        <v>Aggregat 1</v>
      </c>
      <c r="C16" s="833"/>
      <c r="D16" s="833"/>
      <c r="E16" s="834"/>
      <c r="F16" s="796" t="str">
        <f>IF(Einstellrichtwerte!T12&lt;&gt;"",Einstellrichtwerte!T12,"")</f>
        <v/>
      </c>
      <c r="G16" s="797"/>
      <c r="H16" s="797"/>
      <c r="I16" s="798"/>
      <c r="J16" s="797" t="str">
        <f>IF(Einstellrichtwerte!T11&lt;&gt;"",Einstellrichtwerte!T11,"")</f>
        <v/>
      </c>
      <c r="K16" s="797"/>
      <c r="L16" s="797"/>
      <c r="M16" s="797"/>
      <c r="N16" s="797"/>
      <c r="O16" s="797"/>
      <c r="P16" s="797"/>
      <c r="Q16" s="797"/>
      <c r="R16" s="797"/>
      <c r="S16" s="797"/>
      <c r="T16" s="797"/>
      <c r="U16" s="798"/>
      <c r="V16" s="849"/>
      <c r="W16" s="850"/>
      <c r="X16" s="850"/>
      <c r="Y16" s="850"/>
      <c r="Z16" s="850"/>
      <c r="AA16" s="850"/>
      <c r="AB16" s="850"/>
      <c r="AC16" s="850"/>
      <c r="AD16" s="851"/>
      <c r="AE16" s="914" t="str">
        <f>IF(Einstellrichtwerte!T13&lt;&gt;"",Einstellrichtwerte!T13,"")</f>
        <v/>
      </c>
      <c r="AF16" s="914"/>
      <c r="AG16" s="914"/>
      <c r="AH16" s="843" t="str">
        <f>IF(Einstellrichtwerte!T14&lt;&gt;"",Einstellrichtwerte!T14,"")</f>
        <v>keine</v>
      </c>
      <c r="AI16" s="844"/>
      <c r="AJ16" s="844"/>
      <c r="AK16" s="890"/>
      <c r="AL16" s="160"/>
      <c r="AM16" s="157"/>
      <c r="AN16" s="208"/>
      <c r="AO16" s="208"/>
      <c r="AP16" s="208"/>
      <c r="AQ16" s="208"/>
      <c r="AR16" s="208"/>
      <c r="AS16" s="208"/>
      <c r="AT16" s="208"/>
      <c r="AU16" s="208"/>
      <c r="AV16" s="208"/>
      <c r="AW16" s="208"/>
      <c r="AX16" s="208"/>
      <c r="AY16" s="208"/>
      <c r="AZ16" s="208"/>
      <c r="BA16" s="208"/>
      <c r="BB16" s="208"/>
      <c r="BC16" s="208"/>
      <c r="BD16" s="208"/>
      <c r="BE16" s="212"/>
      <c r="BF16" s="212"/>
      <c r="BG16" s="212"/>
      <c r="BH16" s="212"/>
      <c r="BI16" s="208"/>
      <c r="BJ16" s="208"/>
      <c r="BK16" s="208"/>
      <c r="BL16" s="208"/>
      <c r="BM16" s="208"/>
      <c r="BN16" s="208"/>
      <c r="BO16" s="208"/>
      <c r="BP16" s="208"/>
      <c r="BQ16" s="208"/>
      <c r="BR16" s="208"/>
      <c r="BS16" s="209"/>
      <c r="BT16" s="202"/>
      <c r="BU16" s="202"/>
      <c r="BV16" s="202"/>
      <c r="BW16" s="202"/>
      <c r="BX16" s="202"/>
      <c r="BY16" s="202"/>
      <c r="BZ16" s="202"/>
      <c r="CA16" s="202"/>
      <c r="CB16" s="202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4"/>
      <c r="DJ16" s="44"/>
    </row>
    <row r="17" spans="1:114" ht="17.100000000000001" customHeight="1" x14ac:dyDescent="0.25">
      <c r="A17" s="157"/>
      <c r="B17" s="832" t="str">
        <f>IF(Sprache="English","barrel 2",IF(Sprache="Deutsch","Aggregat 2",""))</f>
        <v>Aggregat 2</v>
      </c>
      <c r="C17" s="833"/>
      <c r="D17" s="833"/>
      <c r="E17" s="834"/>
      <c r="F17" s="796" t="str">
        <f>IF('Aggregat 2'!G9&lt;&gt;"",'Aggregat 2'!G9,"")</f>
        <v/>
      </c>
      <c r="G17" s="797"/>
      <c r="H17" s="797"/>
      <c r="I17" s="797"/>
      <c r="J17" s="796"/>
      <c r="K17" s="797"/>
      <c r="L17" s="797"/>
      <c r="M17" s="797"/>
      <c r="N17" s="797"/>
      <c r="O17" s="797"/>
      <c r="P17" s="797"/>
      <c r="Q17" s="797"/>
      <c r="R17" s="797"/>
      <c r="S17" s="797"/>
      <c r="T17" s="797"/>
      <c r="U17" s="798"/>
      <c r="V17" s="843" t="str">
        <f>IF('Aggregat 2'!G11&lt;&gt;"",'Aggregat 2'!G11,"")</f>
        <v/>
      </c>
      <c r="W17" s="844"/>
      <c r="X17" s="844"/>
      <c r="Y17" s="845"/>
      <c r="Z17" s="843" t="str">
        <f>IF('Aggregat 2'!I11&lt;&gt;"",'Aggregat 2'!I11,"")</f>
        <v/>
      </c>
      <c r="AA17" s="844"/>
      <c r="AB17" s="844"/>
      <c r="AC17" s="844"/>
      <c r="AD17" s="845"/>
      <c r="AE17" s="909"/>
      <c r="AF17" s="910"/>
      <c r="AG17" s="910"/>
      <c r="AH17" s="910"/>
      <c r="AI17" s="910"/>
      <c r="AJ17" s="910"/>
      <c r="AK17" s="911"/>
      <c r="AL17" s="160"/>
      <c r="AN17" s="208"/>
      <c r="AO17" s="208"/>
      <c r="AP17" s="208"/>
      <c r="AQ17" s="208"/>
      <c r="AR17" s="208"/>
      <c r="AS17" s="208"/>
      <c r="AT17" s="208"/>
      <c r="AU17" s="208"/>
      <c r="AV17" s="208"/>
      <c r="AW17" s="208"/>
      <c r="AX17" s="208"/>
      <c r="AY17" s="208"/>
      <c r="AZ17" s="208"/>
      <c r="BA17" s="208"/>
      <c r="BB17" s="208"/>
      <c r="BC17" s="208"/>
      <c r="BD17" s="208"/>
      <c r="BE17" s="212"/>
      <c r="BF17" s="212"/>
      <c r="BG17" s="212"/>
      <c r="BH17" s="212"/>
      <c r="BI17" s="208"/>
      <c r="BJ17" s="208"/>
      <c r="BK17" s="208"/>
      <c r="BL17" s="208"/>
      <c r="BM17" s="208"/>
      <c r="BN17" s="208"/>
      <c r="BO17" s="208"/>
      <c r="BP17" s="208"/>
      <c r="BQ17" s="208"/>
      <c r="BR17" s="208"/>
      <c r="BS17" s="209"/>
      <c r="BT17" s="202"/>
      <c r="BU17" s="202"/>
      <c r="BV17" s="202"/>
      <c r="BW17" s="202"/>
      <c r="BX17" s="202"/>
      <c r="BY17" s="202"/>
      <c r="BZ17" s="202"/>
      <c r="CA17" s="202"/>
      <c r="CB17" s="202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4"/>
      <c r="DJ17" s="44"/>
    </row>
    <row r="18" spans="1:114" ht="17.100000000000001" customHeight="1" thickBot="1" x14ac:dyDescent="0.3">
      <c r="A18" s="157"/>
      <c r="B18" s="846" t="str">
        <f>IF(Sprache="English","barrel 2",IF(Sprache="Deutsch","Aggregat 2",""))</f>
        <v>Aggregat 2</v>
      </c>
      <c r="C18" s="847"/>
      <c r="D18" s="847"/>
      <c r="E18" s="848"/>
      <c r="F18" s="838" t="str">
        <f>IF('Aggregat 2'!R9&lt;&gt;"",'Aggregat 2'!R9,"")</f>
        <v/>
      </c>
      <c r="G18" s="839"/>
      <c r="H18" s="839"/>
      <c r="I18" s="839"/>
      <c r="J18" s="838" t="str">
        <f>IF('Aggregat 2'!R8&lt;&gt;"",'Aggregat 2'!R8,"")</f>
        <v/>
      </c>
      <c r="K18" s="839"/>
      <c r="L18" s="839"/>
      <c r="M18" s="839"/>
      <c r="N18" s="839"/>
      <c r="O18" s="839"/>
      <c r="P18" s="839"/>
      <c r="Q18" s="839"/>
      <c r="R18" s="839"/>
      <c r="S18" s="839"/>
      <c r="T18" s="839"/>
      <c r="U18" s="840"/>
      <c r="V18" s="852"/>
      <c r="W18" s="853"/>
      <c r="X18" s="853"/>
      <c r="Y18" s="853"/>
      <c r="Z18" s="853"/>
      <c r="AA18" s="853"/>
      <c r="AB18" s="853"/>
      <c r="AC18" s="853"/>
      <c r="AD18" s="854"/>
      <c r="AE18" s="915" t="str">
        <f>IF('Aggregat 2'!R10&lt;&gt;"",'Aggregat 2'!R10,"")</f>
        <v/>
      </c>
      <c r="AF18" s="916"/>
      <c r="AG18" s="916"/>
      <c r="AH18" s="843" t="str">
        <f>IF('Aggregat 2'!R11&lt;&gt;"",'Aggregat 2'!R11,"")</f>
        <v/>
      </c>
      <c r="AI18" s="844"/>
      <c r="AJ18" s="844"/>
      <c r="AK18" s="890"/>
      <c r="AL18" s="160"/>
      <c r="AN18" s="208"/>
      <c r="AO18" s="208"/>
      <c r="AP18" s="208"/>
      <c r="AQ18" s="208"/>
      <c r="AR18" s="208"/>
      <c r="AS18" s="208"/>
      <c r="AT18" s="208"/>
      <c r="AU18" s="208"/>
      <c r="AV18" s="208"/>
      <c r="AW18" s="208"/>
      <c r="AX18" s="208"/>
      <c r="AY18" s="208"/>
      <c r="AZ18" s="208"/>
      <c r="BA18" s="208"/>
      <c r="BB18" s="208"/>
      <c r="BC18" s="208"/>
      <c r="BD18" s="208"/>
      <c r="BE18" s="212"/>
      <c r="BF18" s="212"/>
      <c r="BG18" s="212"/>
      <c r="BH18" s="212"/>
      <c r="BI18" s="208"/>
      <c r="BJ18" s="208"/>
      <c r="BK18" s="208"/>
      <c r="BL18" s="208"/>
      <c r="BM18" s="208"/>
      <c r="BN18" s="208"/>
      <c r="BO18" s="208"/>
      <c r="BP18" s="208"/>
      <c r="BQ18" s="208"/>
      <c r="BR18" s="208"/>
      <c r="BS18" s="209"/>
      <c r="BT18" s="202"/>
      <c r="BU18" s="202"/>
      <c r="BV18" s="202"/>
      <c r="BW18" s="202"/>
      <c r="BX18" s="202"/>
      <c r="BY18" s="202"/>
      <c r="BZ18" s="202"/>
      <c r="CA18" s="202"/>
      <c r="CB18" s="202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4"/>
      <c r="DJ18" s="44"/>
    </row>
    <row r="19" spans="1:114" ht="17.100000000000001" customHeight="1" thickBot="1" x14ac:dyDescent="0.3">
      <c r="A19" s="157"/>
      <c r="B19" s="159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39"/>
      <c r="AN19" s="208"/>
      <c r="AO19" s="208"/>
      <c r="AP19" s="208"/>
      <c r="AQ19" s="208"/>
      <c r="AR19" s="208"/>
      <c r="AS19" s="213"/>
      <c r="AT19" s="213"/>
      <c r="AU19" s="213"/>
      <c r="AV19" s="213"/>
      <c r="AW19" s="213"/>
      <c r="AX19" s="208"/>
      <c r="AY19" s="208"/>
      <c r="AZ19" s="208"/>
      <c r="BA19" s="208"/>
      <c r="BB19" s="208"/>
      <c r="BC19" s="208"/>
      <c r="BD19" s="208"/>
      <c r="BE19" s="208"/>
      <c r="BF19" s="208"/>
      <c r="BG19" s="208"/>
      <c r="BH19" s="208"/>
      <c r="BI19" s="208"/>
      <c r="BJ19" s="208"/>
      <c r="BK19" s="208"/>
      <c r="BL19" s="208"/>
      <c r="BM19" s="208"/>
      <c r="BN19" s="208"/>
      <c r="BO19" s="208"/>
      <c r="BP19" s="208"/>
      <c r="BQ19" s="208"/>
      <c r="BR19" s="208"/>
      <c r="BS19" s="209"/>
      <c r="BT19" s="202"/>
      <c r="BU19" s="202"/>
      <c r="BV19" s="202"/>
      <c r="BW19" s="202"/>
      <c r="BX19" s="202"/>
      <c r="BY19" s="202"/>
      <c r="BZ19" s="202"/>
      <c r="CA19" s="202"/>
      <c r="CB19" s="202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/>
      <c r="DE19" s="44"/>
      <c r="DF19" s="44"/>
      <c r="DG19" s="44"/>
      <c r="DH19" s="44"/>
      <c r="DI19" s="44"/>
      <c r="DJ19" s="44"/>
    </row>
    <row r="20" spans="1:114" ht="17.100000000000001" customHeight="1" x14ac:dyDescent="0.25">
      <c r="A20" s="492" t="str">
        <f>IF(Sprache="English","*actual value",IF(Sprache="Deutsch","*IST Werte",""))</f>
        <v>*IST Werte</v>
      </c>
      <c r="B20" s="473"/>
      <c r="C20" s="473"/>
      <c r="D20" s="473"/>
      <c r="E20" s="180"/>
      <c r="J20" s="241"/>
      <c r="R20" s="160"/>
      <c r="Z20" s="811"/>
      <c r="AA20" s="811"/>
      <c r="AB20" s="811"/>
      <c r="AC20" s="811"/>
      <c r="AD20" s="242"/>
      <c r="AE20" s="161"/>
      <c r="AH20" s="811"/>
      <c r="AI20" s="811"/>
      <c r="AJ20" s="811"/>
      <c r="AK20" s="811"/>
      <c r="AL20" s="160"/>
      <c r="AN20" s="830" t="s">
        <v>126</v>
      </c>
      <c r="AO20" s="830"/>
      <c r="AP20" s="830"/>
      <c r="AQ20" s="830"/>
      <c r="AR20" s="830"/>
      <c r="AS20" s="830"/>
      <c r="AT20" s="830"/>
      <c r="AU20" s="830"/>
      <c r="AV20" s="830"/>
      <c r="AW20" s="830"/>
      <c r="AX20" s="830"/>
      <c r="AY20" s="208"/>
      <c r="AZ20" s="208"/>
      <c r="BA20" s="208"/>
      <c r="BB20" s="208"/>
      <c r="BC20" s="208"/>
      <c r="BD20" s="208"/>
      <c r="BE20" s="208"/>
      <c r="BF20" s="208"/>
      <c r="BG20" s="208"/>
      <c r="BH20" s="208"/>
      <c r="BI20" s="208"/>
      <c r="BJ20" s="208"/>
      <c r="BK20" s="208"/>
      <c r="BL20" s="208"/>
      <c r="BM20" s="208"/>
      <c r="BN20" s="208"/>
      <c r="BO20" s="208"/>
      <c r="BP20" s="208"/>
      <c r="BQ20" s="208"/>
      <c r="BR20" s="208"/>
      <c r="BS20" s="209"/>
      <c r="BT20" s="202"/>
      <c r="BU20" s="202"/>
      <c r="BV20" s="202"/>
      <c r="BW20" s="202"/>
      <c r="BX20" s="202"/>
      <c r="BY20" s="202"/>
      <c r="BZ20" s="202"/>
      <c r="CA20" s="202"/>
      <c r="CB20" s="202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</row>
    <row r="21" spans="1:114" ht="17.100000000000001" customHeight="1" x14ac:dyDescent="0.25">
      <c r="A21" s="835" t="str">
        <f>IF(Sprache="English","barrel 1",IF(Sprache="Deutsch","Aggregat 1",""))</f>
        <v>Aggregat 1</v>
      </c>
      <c r="B21" s="811"/>
      <c r="C21" s="811"/>
      <c r="D21" s="811"/>
      <c r="F21" s="792" t="str">
        <f>IF(Sprache="English","process range",IF(Sprache="Deutsch","Prozessfenster",""))</f>
        <v>Prozessfenster</v>
      </c>
      <c r="G21" s="792"/>
      <c r="H21" s="792"/>
      <c r="I21" s="793"/>
      <c r="J21" s="811" t="str">
        <f>IF(Sprache="English","barrel 2",IF(Sprache="Deutsch","Aggregat 2",""))</f>
        <v>Aggregat 2</v>
      </c>
      <c r="K21" s="811"/>
      <c r="L21" s="811"/>
      <c r="M21" s="811"/>
      <c r="O21" s="792" t="str">
        <f>IF(Sprache="English","process range",IF(Sprache="Deutsch","Prozessfenster",""))</f>
        <v>Prozessfenster</v>
      </c>
      <c r="P21" s="792"/>
      <c r="Q21" s="792"/>
      <c r="R21" s="841"/>
      <c r="S21" s="811" t="str">
        <f>IF(Sprache="English","barrel 1",IF(Sprache="Deutsch","Aggregat 1",""))</f>
        <v>Aggregat 1</v>
      </c>
      <c r="T21" s="811"/>
      <c r="U21" s="811"/>
      <c r="V21" s="811"/>
      <c r="W21" s="181"/>
      <c r="X21" s="821"/>
      <c r="Y21" s="821"/>
      <c r="Z21" s="792" t="str">
        <f>IF(Sprache="English","process range",IF(Sprache="Deutsch","Prozessfenster",""))</f>
        <v>Prozessfenster</v>
      </c>
      <c r="AA21" s="792"/>
      <c r="AB21" s="792"/>
      <c r="AC21" s="792"/>
      <c r="AD21" s="243"/>
      <c r="AF21" s="811" t="str">
        <f>IF(Sprache="English","barrel 2",IF(Sprache="Deutsch","Aggregat 2",""))</f>
        <v>Aggregat 2</v>
      </c>
      <c r="AG21" s="811"/>
      <c r="AH21" s="811"/>
      <c r="AI21" s="792" t="str">
        <f>IF(Sprache="English","process range",IF(Sprache="Deutsch","Prozessfenster",""))</f>
        <v>Prozessfenster</v>
      </c>
      <c r="AJ21" s="792"/>
      <c r="AK21" s="792"/>
      <c r="AL21" s="841"/>
      <c r="AN21" s="208"/>
      <c r="AO21" s="208"/>
      <c r="AP21" s="208"/>
      <c r="AQ21" s="208"/>
      <c r="AR21" s="892"/>
      <c r="AS21" s="892"/>
      <c r="AT21" s="892"/>
      <c r="AU21" s="892"/>
      <c r="AV21" s="892"/>
      <c r="AW21" s="214"/>
      <c r="AX21" s="214"/>
      <c r="AY21" s="215"/>
      <c r="AZ21" s="208"/>
      <c r="BA21" s="208"/>
      <c r="BB21" s="208"/>
      <c r="BC21" s="208"/>
      <c r="BD21" s="208"/>
      <c r="BE21" s="208"/>
      <c r="BF21" s="208"/>
      <c r="BG21" s="208"/>
      <c r="BH21" s="208"/>
      <c r="BI21" s="208"/>
      <c r="BJ21" s="208"/>
      <c r="BK21" s="208"/>
      <c r="BL21" s="208"/>
      <c r="BM21" s="208"/>
      <c r="BN21" s="208"/>
      <c r="BO21" s="208"/>
      <c r="BP21" s="208"/>
      <c r="BQ21" s="208"/>
      <c r="BR21" s="208"/>
      <c r="BS21" s="208"/>
      <c r="BT21" s="75"/>
      <c r="BU21" s="75"/>
      <c r="BV21" s="75"/>
      <c r="BW21" s="75"/>
      <c r="BX21" s="75"/>
      <c r="BY21" s="75"/>
      <c r="BZ21" s="75"/>
      <c r="CA21" s="75"/>
      <c r="CB21" s="75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/>
      <c r="DE21" s="44"/>
      <c r="DF21" s="44"/>
      <c r="DG21" s="44"/>
      <c r="DH21" s="44"/>
      <c r="DI21" s="44"/>
      <c r="DJ21" s="44"/>
    </row>
    <row r="22" spans="1:114" ht="17.100000000000001" customHeight="1" x14ac:dyDescent="0.25">
      <c r="A22" s="808" t="s">
        <v>110</v>
      </c>
      <c r="B22" s="432"/>
      <c r="C22" s="432"/>
      <c r="D22" s="825" t="str">
        <f>IF(Einstellrichtwerte!AG33&lt;&gt;"",Einstellrichtwerte!AG33,"")</f>
        <v/>
      </c>
      <c r="E22" s="825"/>
      <c r="F22" s="818" t="str">
        <f>IF(D22&lt;&gt;"",D22*0.95,"")</f>
        <v/>
      </c>
      <c r="G22" s="819"/>
      <c r="H22" s="826" t="str">
        <f>IF(D22&lt;&gt;"",D22*1.05,"")</f>
        <v/>
      </c>
      <c r="I22" s="826"/>
      <c r="J22" s="820" t="s">
        <v>110</v>
      </c>
      <c r="K22" s="432"/>
      <c r="L22" s="432"/>
      <c r="M22" s="460" t="str">
        <f>IF('Aggregat 2'!AE30&lt;&gt;"",'Aggregat 2'!AE30,"")</f>
        <v/>
      </c>
      <c r="N22" s="855"/>
      <c r="O22" s="464" t="str">
        <f>IF(M22&lt;&gt;"",M22*0.95,"")</f>
        <v/>
      </c>
      <c r="P22" s="464"/>
      <c r="Q22" s="836" t="str">
        <f>IF(M22&lt;&gt;"",M22*1.05,"")</f>
        <v/>
      </c>
      <c r="R22" s="837"/>
      <c r="S22" s="831" t="s">
        <v>90</v>
      </c>
      <c r="T22" s="831"/>
      <c r="U22" s="831"/>
      <c r="V22" s="831"/>
      <c r="W22" s="831"/>
      <c r="X22" s="856" t="str">
        <f>IF(Einstellrichtwerte!AH11&lt;&gt;"",Einstellrichtwerte!AH11,"")</f>
        <v/>
      </c>
      <c r="Y22" s="857"/>
      <c r="Z22" s="860" t="str">
        <f>IF(X22&lt;&gt;"",X22*0.95,"")</f>
        <v/>
      </c>
      <c r="AA22" s="464"/>
      <c r="AB22" s="826" t="str">
        <f>IF(X22&lt;&gt;"",X22*1.05,"")</f>
        <v/>
      </c>
      <c r="AC22" s="826"/>
      <c r="AE22" s="223"/>
      <c r="AF22" s="903" t="str">
        <f>IF('Aggregat 2'!AF8&lt;&gt;"",'Aggregat 2'!AF8,"")</f>
        <v/>
      </c>
      <c r="AG22" s="904"/>
      <c r="AH22" s="905"/>
      <c r="AI22" s="818" t="str">
        <f>IF(AF22&lt;&gt;"",AF22*0.95,"")</f>
        <v/>
      </c>
      <c r="AJ22" s="819"/>
      <c r="AK22" s="826" t="str">
        <f>IF(AF22&lt;&gt;"",AF22*1.05,"")</f>
        <v/>
      </c>
      <c r="AL22" s="859"/>
      <c r="AN22" s="830" t="s">
        <v>118</v>
      </c>
      <c r="AO22" s="830"/>
      <c r="AP22" s="830"/>
      <c r="AQ22" s="830"/>
      <c r="AR22" s="208"/>
      <c r="AZ22" s="208"/>
      <c r="BA22" s="208"/>
      <c r="BB22" s="208"/>
      <c r="BC22" s="208"/>
      <c r="BD22" s="208"/>
      <c r="BE22" s="208"/>
      <c r="BF22" s="208"/>
      <c r="BG22" s="208"/>
      <c r="BH22" s="208"/>
      <c r="BI22" s="208"/>
      <c r="BJ22" s="208"/>
      <c r="BK22" s="208"/>
      <c r="BL22" s="208"/>
      <c r="BM22" s="208"/>
      <c r="BN22" s="208"/>
      <c r="BO22" s="208"/>
      <c r="BP22" s="208"/>
      <c r="BQ22" s="208"/>
      <c r="BR22" s="208"/>
      <c r="BS22" s="208"/>
      <c r="BT22" s="75"/>
      <c r="BU22" s="75"/>
      <c r="BV22" s="75"/>
      <c r="BW22" s="75"/>
      <c r="BX22" s="75"/>
      <c r="BY22" s="75"/>
      <c r="BZ22" s="75"/>
      <c r="CA22" s="75"/>
      <c r="CB22" s="75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</row>
    <row r="23" spans="1:114" ht="17.100000000000001" customHeight="1" x14ac:dyDescent="0.25">
      <c r="A23" s="808" t="s">
        <v>80</v>
      </c>
      <c r="B23" s="432"/>
      <c r="C23" s="432"/>
      <c r="D23" s="825" t="str">
        <f>IF(Einstellrichtwerte!AG34&lt;&gt;"",Einstellrichtwerte!AG34,"")</f>
        <v/>
      </c>
      <c r="E23" s="825"/>
      <c r="F23" s="818" t="str">
        <f t="shared" ref="F23:F24" si="0">IF(D23&lt;&gt;"",D23*0.95,"")</f>
        <v/>
      </c>
      <c r="G23" s="819"/>
      <c r="H23" s="822" t="str">
        <f t="shared" ref="H23:H24" si="1">IF(D23&lt;&gt;"",D23*1.05,"")</f>
        <v/>
      </c>
      <c r="I23" s="823"/>
      <c r="J23" s="820" t="s">
        <v>80</v>
      </c>
      <c r="K23" s="432"/>
      <c r="L23" s="432"/>
      <c r="M23" s="460" t="str">
        <f>IF('Aggregat 2'!AE31&lt;&gt;"",'Aggregat 2'!AE31,"")</f>
        <v/>
      </c>
      <c r="N23" s="855"/>
      <c r="O23" s="464" t="str">
        <f>IF(M23&lt;&gt;"",M23*0.95,"")</f>
        <v/>
      </c>
      <c r="P23" s="464"/>
      <c r="Q23" s="836" t="str">
        <f>IF(M23&lt;&gt;"",M23*1.05,"")</f>
        <v/>
      </c>
      <c r="R23" s="837"/>
      <c r="S23" s="791" t="s">
        <v>54</v>
      </c>
      <c r="T23" s="431"/>
      <c r="U23" s="431"/>
      <c r="V23" s="431"/>
      <c r="W23" s="431"/>
      <c r="X23" s="858" t="str">
        <f>IF(Einstellrichtwerte!AH12&lt;&gt;"",Einstellrichtwerte!AH12,"")</f>
        <v/>
      </c>
      <c r="Y23" s="858"/>
      <c r="Z23" s="861" t="str">
        <f>IF(X23&lt;&gt;"",X23*0.95,"")</f>
        <v/>
      </c>
      <c r="AA23" s="862"/>
      <c r="AB23" s="863" t="str">
        <f>IF(X23&lt;&gt;"",X23*1.05,"")</f>
        <v/>
      </c>
      <c r="AC23" s="863"/>
      <c r="AD23" s="243"/>
      <c r="AF23" s="906" t="str">
        <f>IF('Aggregat 2'!AF9&lt;&gt;"",'Aggregat 2'!AF9,"")</f>
        <v/>
      </c>
      <c r="AG23" s="907"/>
      <c r="AH23" s="908"/>
      <c r="AI23" s="818" t="str">
        <f>IF(AF23&lt;&gt;"",AF23*0.95,"")</f>
        <v/>
      </c>
      <c r="AJ23" s="819"/>
      <c r="AK23" s="826" t="str">
        <f>IF(AF23&lt;&gt;"",AF23*1.05,"")</f>
        <v/>
      </c>
      <c r="AL23" s="859"/>
      <c r="AN23" s="208"/>
      <c r="AO23" s="208"/>
      <c r="AP23" s="208"/>
      <c r="AQ23" s="208"/>
      <c r="AR23" s="208"/>
      <c r="AS23" s="208"/>
      <c r="AT23" s="208"/>
      <c r="AU23" s="208"/>
      <c r="AV23" s="208"/>
      <c r="AW23" s="208"/>
      <c r="AX23" s="208"/>
      <c r="AY23" s="208"/>
      <c r="AZ23" s="208"/>
      <c r="BA23" s="208"/>
      <c r="BB23" s="208"/>
      <c r="BC23" s="208"/>
      <c r="BD23" s="208"/>
      <c r="BE23" s="208"/>
      <c r="BF23" s="208"/>
      <c r="BG23" s="208"/>
      <c r="BH23" s="208"/>
      <c r="BI23" s="208"/>
      <c r="BJ23" s="208"/>
      <c r="BK23" s="208"/>
      <c r="BL23" s="208"/>
      <c r="BM23" s="208"/>
      <c r="BN23" s="208"/>
      <c r="BO23" s="208"/>
      <c r="BP23" s="208"/>
      <c r="BQ23" s="208"/>
      <c r="BR23" s="208"/>
      <c r="BS23" s="208"/>
      <c r="BT23" s="75"/>
      <c r="BU23" s="75"/>
      <c r="BV23" s="75"/>
      <c r="BW23" s="75"/>
      <c r="BX23" s="75"/>
      <c r="BY23" s="75"/>
      <c r="BZ23" s="75"/>
      <c r="CA23" s="75"/>
      <c r="CB23" s="75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4"/>
      <c r="DJ23" s="44"/>
    </row>
    <row r="24" spans="1:114" ht="17.100000000000001" customHeight="1" thickBot="1" x14ac:dyDescent="0.3">
      <c r="A24" s="813" t="s">
        <v>31</v>
      </c>
      <c r="B24" s="814"/>
      <c r="C24" s="814"/>
      <c r="D24" s="825" t="str">
        <f>IF(Einstellrichtwerte!AG35&lt;&gt;"",Einstellrichtwerte!AG35,"")</f>
        <v/>
      </c>
      <c r="E24" s="825"/>
      <c r="F24" s="818" t="str">
        <f t="shared" si="0"/>
        <v/>
      </c>
      <c r="G24" s="819"/>
      <c r="H24" s="826" t="str">
        <f t="shared" si="1"/>
        <v/>
      </c>
      <c r="I24" s="826"/>
      <c r="J24" s="240"/>
      <c r="K24" s="182"/>
      <c r="L24" s="182"/>
      <c r="M24" s="182"/>
      <c r="N24" s="182"/>
      <c r="O24" s="203"/>
      <c r="P24" s="203"/>
      <c r="Q24" s="203"/>
      <c r="R24" s="204"/>
      <c r="S24" s="827"/>
      <c r="T24" s="827"/>
      <c r="U24" s="824"/>
      <c r="V24" s="824"/>
      <c r="W24" s="824"/>
      <c r="AD24" s="159"/>
      <c r="AE24" s="240"/>
      <c r="AG24" s="138"/>
      <c r="AH24" s="183"/>
      <c r="AI24" s="184"/>
      <c r="AL24" s="173"/>
      <c r="AN24" s="208"/>
      <c r="AO24" s="208"/>
      <c r="AP24" s="208"/>
      <c r="AQ24" s="208"/>
      <c r="AR24" s="208"/>
      <c r="AS24" s="208"/>
      <c r="AT24" s="208"/>
      <c r="AU24" s="208"/>
      <c r="AV24" s="208"/>
      <c r="AW24" s="208"/>
      <c r="AX24" s="208"/>
      <c r="AY24" s="208"/>
      <c r="AZ24" s="208"/>
      <c r="BA24" s="208"/>
      <c r="BB24" s="208"/>
      <c r="BC24" s="208"/>
      <c r="BD24" s="208"/>
      <c r="BE24" s="208"/>
      <c r="BF24" s="208"/>
      <c r="BG24" s="208"/>
      <c r="BH24" s="208"/>
      <c r="BI24" s="208"/>
      <c r="BJ24" s="208"/>
      <c r="BK24" s="208"/>
      <c r="BL24" s="208"/>
      <c r="BM24" s="208"/>
      <c r="BN24" s="208"/>
      <c r="BO24" s="208"/>
      <c r="BP24" s="208"/>
      <c r="BQ24" s="208"/>
      <c r="BR24" s="208"/>
      <c r="BS24" s="208"/>
      <c r="BT24" s="75"/>
      <c r="BU24" s="75"/>
      <c r="BV24" s="75"/>
      <c r="BW24" s="75"/>
      <c r="BX24" s="75"/>
      <c r="BY24" s="75"/>
      <c r="BZ24" s="75"/>
      <c r="CA24" s="75"/>
      <c r="CB24" s="75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4"/>
      <c r="DJ24" s="44"/>
    </row>
    <row r="25" spans="1:114" ht="17.100000000000001" customHeight="1" x14ac:dyDescent="0.25">
      <c r="A25" s="809" t="str">
        <f>IF(Sprache="English","hot runner [°C] +/- 30°C",IF(Sprache="Deutsch","Heisskanal [°C] +/- 30°C",""))</f>
        <v>Heisskanal [°C] +/- 30°C</v>
      </c>
      <c r="B25" s="810"/>
      <c r="C25" s="810"/>
      <c r="D25" s="810"/>
      <c r="E25" s="810"/>
      <c r="F25" s="810"/>
      <c r="G25" s="810"/>
      <c r="H25" s="810"/>
      <c r="I25" s="810"/>
      <c r="J25" s="810"/>
      <c r="K25" s="810"/>
      <c r="L25" s="810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35"/>
      <c r="AN25" s="208"/>
      <c r="AO25" s="208"/>
      <c r="AP25" s="208"/>
      <c r="AQ25" s="208"/>
      <c r="AR25" s="208"/>
      <c r="AS25" s="208"/>
      <c r="AT25" s="208"/>
      <c r="AU25" s="208"/>
      <c r="AV25" s="208"/>
      <c r="AW25" s="208"/>
      <c r="AX25" s="208"/>
      <c r="AY25" s="208"/>
      <c r="AZ25" s="208"/>
      <c r="BA25" s="208"/>
      <c r="BB25" s="208"/>
      <c r="BC25" s="208"/>
      <c r="BD25" s="208"/>
      <c r="BE25" s="208"/>
      <c r="BF25" s="208"/>
      <c r="BG25" s="208"/>
      <c r="BH25" s="208"/>
      <c r="BI25" s="208"/>
      <c r="BJ25" s="208"/>
      <c r="BK25" s="208"/>
      <c r="BL25" s="208"/>
      <c r="BM25" s="208"/>
      <c r="BN25" s="208"/>
      <c r="BO25" s="208"/>
      <c r="BP25" s="208"/>
      <c r="BQ25" s="208"/>
      <c r="BR25" s="208"/>
      <c r="BS25" s="208"/>
      <c r="BT25" s="75"/>
      <c r="BU25" s="75"/>
      <c r="BV25" s="75"/>
      <c r="BW25" s="75"/>
      <c r="BX25" s="75"/>
      <c r="BY25" s="75"/>
      <c r="BZ25" s="75"/>
      <c r="CA25" s="75"/>
      <c r="CB25" s="75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4"/>
      <c r="DJ25" s="44"/>
    </row>
    <row r="26" spans="1:114" ht="17.100000000000001" customHeight="1" x14ac:dyDescent="0.25">
      <c r="A26" s="815" t="s">
        <v>12</v>
      </c>
      <c r="B26" s="812"/>
      <c r="C26" s="812" t="s">
        <v>16</v>
      </c>
      <c r="D26" s="812"/>
      <c r="E26" s="812" t="s">
        <v>15</v>
      </c>
      <c r="F26" s="812"/>
      <c r="G26" s="812" t="s">
        <v>14</v>
      </c>
      <c r="H26" s="812"/>
      <c r="I26" s="812" t="s">
        <v>13</v>
      </c>
      <c r="J26" s="812"/>
      <c r="K26" s="812" t="s">
        <v>18</v>
      </c>
      <c r="L26" s="812"/>
      <c r="M26" s="812" t="s">
        <v>17</v>
      </c>
      <c r="N26" s="812"/>
      <c r="O26" s="812" t="s">
        <v>19</v>
      </c>
      <c r="P26" s="812"/>
      <c r="Q26" s="812" t="s">
        <v>20</v>
      </c>
      <c r="R26" s="812"/>
      <c r="S26" s="812" t="s">
        <v>21</v>
      </c>
      <c r="T26" s="812"/>
      <c r="U26" s="812" t="s">
        <v>23</v>
      </c>
      <c r="V26" s="812"/>
      <c r="W26" s="812" t="s">
        <v>24</v>
      </c>
      <c r="X26" s="812"/>
      <c r="Y26" s="812" t="s">
        <v>25</v>
      </c>
      <c r="Z26" s="812"/>
      <c r="AA26" s="812" t="s">
        <v>55</v>
      </c>
      <c r="AB26" s="812"/>
      <c r="AC26" s="812" t="s">
        <v>56</v>
      </c>
      <c r="AD26" s="812"/>
      <c r="AE26" s="812" t="s">
        <v>57</v>
      </c>
      <c r="AF26" s="812"/>
      <c r="AG26" s="812" t="s">
        <v>58</v>
      </c>
      <c r="AH26" s="812"/>
      <c r="AI26" s="812" t="s">
        <v>59</v>
      </c>
      <c r="AJ26" s="812"/>
      <c r="AK26" s="44"/>
      <c r="AL26" s="136"/>
      <c r="AN26" s="830" t="s">
        <v>123</v>
      </c>
      <c r="AO26" s="830"/>
      <c r="AP26" s="830"/>
      <c r="AQ26" s="830"/>
      <c r="AR26" s="830"/>
      <c r="AS26" s="830"/>
      <c r="AT26" s="830"/>
      <c r="AU26" s="830"/>
      <c r="AV26" s="830"/>
      <c r="AW26" s="830"/>
      <c r="AX26" s="830"/>
      <c r="AY26" s="830"/>
      <c r="AZ26" s="830"/>
      <c r="BA26" s="830"/>
      <c r="BB26" s="830"/>
      <c r="BC26" s="830"/>
      <c r="BD26" s="830"/>
      <c r="BE26" s="830"/>
      <c r="BF26" s="830"/>
      <c r="BG26" s="830"/>
      <c r="BH26" s="830"/>
      <c r="BI26" s="830"/>
      <c r="BJ26" s="830"/>
      <c r="BK26" s="830"/>
      <c r="BL26" s="830"/>
      <c r="BM26" s="830"/>
      <c r="BN26" s="830"/>
      <c r="BO26" s="208"/>
      <c r="BP26" s="208"/>
      <c r="BQ26" s="208"/>
      <c r="BR26" s="208"/>
      <c r="BS26" s="209"/>
      <c r="BT26" s="202"/>
      <c r="BU26" s="202"/>
      <c r="BV26" s="202"/>
      <c r="BW26" s="202"/>
      <c r="BX26" s="202"/>
      <c r="BY26" s="202"/>
      <c r="BZ26" s="202"/>
      <c r="CA26" s="202"/>
      <c r="CB26" s="202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4"/>
      <c r="DJ26" s="44"/>
    </row>
    <row r="27" spans="1:114" ht="17.100000000000001" customHeight="1" x14ac:dyDescent="0.25">
      <c r="A27" s="785" t="str">
        <f>IF(Einstellrichtwerte!D42&lt;&gt;"",Einstellrichtwerte!D42,"")</f>
        <v/>
      </c>
      <c r="B27" s="588"/>
      <c r="C27" s="785" t="str">
        <f>IF(Einstellrichtwerte!F42&lt;&gt;"",Einstellrichtwerte!F42,"")</f>
        <v/>
      </c>
      <c r="D27" s="588"/>
      <c r="E27" s="785" t="str">
        <f>IF(Einstellrichtwerte!H42&lt;&gt;"",Einstellrichtwerte!H42,"")</f>
        <v/>
      </c>
      <c r="F27" s="588"/>
      <c r="G27" s="785" t="str">
        <f>IF(Einstellrichtwerte!J42&lt;&gt;"",Einstellrichtwerte!J42,"")</f>
        <v/>
      </c>
      <c r="H27" s="588"/>
      <c r="I27" s="785" t="str">
        <f>IF(Einstellrichtwerte!L42&lt;&gt;"",Einstellrichtwerte!L42,"")</f>
        <v/>
      </c>
      <c r="J27" s="588"/>
      <c r="K27" s="785" t="str">
        <f>IF(Einstellrichtwerte!N42&lt;&gt;"",Einstellrichtwerte!N42,"")</f>
        <v/>
      </c>
      <c r="L27" s="588"/>
      <c r="M27" s="785" t="str">
        <f>IF(Einstellrichtwerte!P42&lt;&gt;"",Einstellrichtwerte!P42,"")</f>
        <v/>
      </c>
      <c r="N27" s="588"/>
      <c r="O27" s="785" t="str">
        <f>IF(Einstellrichtwerte!R42&lt;&gt;"",Einstellrichtwerte!R42,"")</f>
        <v/>
      </c>
      <c r="P27" s="588"/>
      <c r="Q27" s="785" t="str">
        <f>IF(Einstellrichtwerte!T42&lt;&gt;"",Einstellrichtwerte!T42,"")</f>
        <v/>
      </c>
      <c r="R27" s="588"/>
      <c r="S27" s="785" t="str">
        <f>IF(Einstellrichtwerte!V42&lt;&gt;"",Einstellrichtwerte!V42,"")</f>
        <v/>
      </c>
      <c r="T27" s="588"/>
      <c r="U27" s="785" t="str">
        <f>IF(Einstellrichtwerte!X42&lt;&gt;"",Einstellrichtwerte!X42,"")</f>
        <v/>
      </c>
      <c r="V27" s="588"/>
      <c r="W27" s="785" t="str">
        <f>IF(Einstellrichtwerte!Z42&lt;&gt;"",Einstellrichtwerte!Z42,"")</f>
        <v/>
      </c>
      <c r="X27" s="588"/>
      <c r="Y27" s="785" t="str">
        <f>IF(Einstellrichtwerte!AB42&lt;&gt;"",Einstellrichtwerte!AB42,"")</f>
        <v/>
      </c>
      <c r="Z27" s="588"/>
      <c r="AA27" s="785" t="str">
        <f>IF(Einstellrichtwerte!AD42&lt;&gt;"",Einstellrichtwerte!AD42,"")</f>
        <v/>
      </c>
      <c r="AB27" s="588"/>
      <c r="AC27" s="785" t="str">
        <f>IF(Einstellrichtwerte!AF42&lt;&gt;"",Einstellrichtwerte!AF42,"")</f>
        <v/>
      </c>
      <c r="AD27" s="588"/>
      <c r="AE27" s="785" t="str">
        <f>IF(Einstellrichtwerte!AH42&lt;&gt;"",Einstellrichtwerte!AH42,"")</f>
        <v/>
      </c>
      <c r="AF27" s="588"/>
      <c r="AG27" s="785" t="str">
        <f>IF(Einstellrichtwerte!AJ42&lt;&gt;"",Einstellrichtwerte!AJ42,"")</f>
        <v/>
      </c>
      <c r="AH27" s="588"/>
      <c r="AI27" s="785" t="str">
        <f>IF(Einstellrichtwerte!AL42&lt;&gt;"",Einstellrichtwerte!AL42,"")</f>
        <v/>
      </c>
      <c r="AJ27" s="588"/>
      <c r="AK27" s="912"/>
      <c r="AL27" s="913"/>
      <c r="AN27" s="830" t="s">
        <v>120</v>
      </c>
      <c r="AO27" s="830"/>
      <c r="AP27" s="830"/>
      <c r="AQ27" s="830"/>
      <c r="AR27" s="208"/>
      <c r="AS27" s="208"/>
      <c r="AT27" s="208"/>
      <c r="AU27" s="208"/>
      <c r="AV27" s="208"/>
      <c r="AW27" s="208"/>
      <c r="AX27" s="208"/>
      <c r="AY27" s="208"/>
      <c r="AZ27" s="208"/>
      <c r="BA27" s="208"/>
      <c r="BB27" s="208"/>
      <c r="BC27" s="208"/>
      <c r="BD27" s="208"/>
      <c r="BE27" s="208"/>
      <c r="BF27" s="208"/>
      <c r="BG27" s="208"/>
      <c r="BH27" s="208"/>
      <c r="BI27" s="208"/>
      <c r="BJ27" s="208"/>
      <c r="BK27" s="208"/>
      <c r="BL27" s="208"/>
      <c r="BM27" s="208"/>
      <c r="BN27" s="208"/>
      <c r="BO27" s="208"/>
      <c r="BP27" s="208"/>
      <c r="BQ27" s="208"/>
      <c r="BR27" s="208"/>
      <c r="BS27" s="209"/>
      <c r="BT27" s="202"/>
      <c r="BU27" s="202"/>
      <c r="BV27" s="202"/>
      <c r="BW27" s="202"/>
      <c r="BX27" s="202"/>
      <c r="BY27" s="202"/>
      <c r="BZ27" s="202"/>
      <c r="CA27" s="202"/>
      <c r="CB27" s="202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4"/>
      <c r="DJ27" s="44"/>
    </row>
    <row r="28" spans="1:114" ht="17.100000000000001" customHeight="1" x14ac:dyDescent="0.25">
      <c r="A28" s="816" t="s">
        <v>60</v>
      </c>
      <c r="B28" s="817"/>
      <c r="C28" s="817" t="s">
        <v>61</v>
      </c>
      <c r="D28" s="817"/>
      <c r="E28" s="817" t="s">
        <v>62</v>
      </c>
      <c r="F28" s="817"/>
      <c r="G28" s="817" t="s">
        <v>63</v>
      </c>
      <c r="H28" s="817"/>
      <c r="I28" s="817" t="s">
        <v>64</v>
      </c>
      <c r="J28" s="817"/>
      <c r="K28" s="817" t="s">
        <v>65</v>
      </c>
      <c r="L28" s="817"/>
      <c r="M28" s="889" t="s">
        <v>66</v>
      </c>
      <c r="N28" s="889"/>
      <c r="O28" s="817" t="s">
        <v>67</v>
      </c>
      <c r="P28" s="817"/>
      <c r="Q28" s="817" t="s">
        <v>68</v>
      </c>
      <c r="R28" s="817"/>
      <c r="S28" s="817" t="s">
        <v>69</v>
      </c>
      <c r="T28" s="817"/>
      <c r="U28" s="817" t="s">
        <v>70</v>
      </c>
      <c r="V28" s="817"/>
      <c r="W28" s="817" t="s">
        <v>71</v>
      </c>
      <c r="X28" s="817"/>
      <c r="Y28" s="817" t="s">
        <v>72</v>
      </c>
      <c r="Z28" s="817"/>
      <c r="AA28" s="817" t="s">
        <v>73</v>
      </c>
      <c r="AB28" s="817"/>
      <c r="AC28" s="817" t="s">
        <v>74</v>
      </c>
      <c r="AD28" s="817"/>
      <c r="AE28" s="817" t="s">
        <v>75</v>
      </c>
      <c r="AF28" s="817"/>
      <c r="AG28" s="817" t="s">
        <v>76</v>
      </c>
      <c r="AH28" s="817"/>
      <c r="AI28" s="817" t="s">
        <v>77</v>
      </c>
      <c r="AJ28" s="817"/>
      <c r="AK28" s="330"/>
      <c r="AL28" s="301"/>
      <c r="AN28" s="208"/>
      <c r="AO28" s="208"/>
      <c r="AP28" s="208"/>
      <c r="AQ28" s="208"/>
      <c r="AR28" s="208"/>
      <c r="AS28" s="208"/>
      <c r="AT28" s="208"/>
      <c r="AU28" s="208"/>
      <c r="AV28" s="208"/>
      <c r="AW28" s="208"/>
      <c r="AX28" s="208"/>
      <c r="AY28" s="208"/>
      <c r="AZ28" s="208"/>
      <c r="BA28" s="208"/>
      <c r="BB28" s="208"/>
      <c r="BC28" s="208"/>
      <c r="BD28" s="208"/>
      <c r="BE28" s="208"/>
      <c r="BF28" s="208"/>
      <c r="BG28" s="208"/>
      <c r="BH28" s="208"/>
      <c r="BI28" s="208"/>
      <c r="BJ28" s="208"/>
      <c r="BK28" s="208"/>
      <c r="BL28" s="208"/>
      <c r="BM28" s="208"/>
      <c r="BN28" s="208"/>
      <c r="BO28" s="208"/>
      <c r="BP28" s="208"/>
      <c r="BQ28" s="208"/>
      <c r="BR28" s="208"/>
      <c r="BS28" s="209"/>
      <c r="BT28" s="202"/>
      <c r="BU28" s="202"/>
      <c r="BV28" s="202"/>
      <c r="BW28" s="202"/>
      <c r="BX28" s="202"/>
      <c r="BY28" s="202"/>
      <c r="BZ28" s="202"/>
      <c r="CA28" s="202"/>
      <c r="CB28" s="202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4"/>
      <c r="DJ28" s="44"/>
    </row>
    <row r="29" spans="1:114" ht="17.100000000000001" customHeight="1" x14ac:dyDescent="0.25">
      <c r="A29" s="785" t="str">
        <f>IF(Einstellrichtwerte!D44&lt;&gt;"",Einstellrichtwerte!D44,"")</f>
        <v/>
      </c>
      <c r="B29" s="588"/>
      <c r="C29" s="785" t="str">
        <f>IF(Einstellrichtwerte!F44&lt;&gt;"",Einstellrichtwerte!F44,"")</f>
        <v/>
      </c>
      <c r="D29" s="588"/>
      <c r="E29" s="785" t="str">
        <f>IF(Einstellrichtwerte!H44&lt;&gt;"",Einstellrichtwerte!H44,"")</f>
        <v/>
      </c>
      <c r="F29" s="588"/>
      <c r="G29" s="785" t="str">
        <f>IF(Einstellrichtwerte!J44&lt;&gt;"",Einstellrichtwerte!J44,"")</f>
        <v/>
      </c>
      <c r="H29" s="588"/>
      <c r="I29" s="785" t="str">
        <f>IF(Einstellrichtwerte!L44&lt;&gt;"",Einstellrichtwerte!L44,"")</f>
        <v/>
      </c>
      <c r="J29" s="588"/>
      <c r="K29" s="785" t="str">
        <f>IF(Einstellrichtwerte!N44&lt;&gt;"",Einstellrichtwerte!N44,"")</f>
        <v/>
      </c>
      <c r="L29" s="588"/>
      <c r="M29" s="785" t="str">
        <f>IF(Einstellrichtwerte!P44&lt;&gt;"",Einstellrichtwerte!P44,"")</f>
        <v/>
      </c>
      <c r="N29" s="588"/>
      <c r="O29" s="785" t="str">
        <f>IF(Einstellrichtwerte!R44&lt;&gt;"",Einstellrichtwerte!R44,"")</f>
        <v/>
      </c>
      <c r="P29" s="588"/>
      <c r="Q29" s="785" t="str">
        <f>IF(Einstellrichtwerte!T44&lt;&gt;"",Einstellrichtwerte!T44,"")</f>
        <v/>
      </c>
      <c r="R29" s="588"/>
      <c r="S29" s="785" t="str">
        <f>IF(Einstellrichtwerte!V44&lt;&gt;"",Einstellrichtwerte!V44,"")</f>
        <v/>
      </c>
      <c r="T29" s="588"/>
      <c r="U29" s="785" t="str">
        <f>IF(Einstellrichtwerte!X44&lt;&gt;"",Einstellrichtwerte!X44,"")</f>
        <v/>
      </c>
      <c r="V29" s="588"/>
      <c r="W29" s="785" t="str">
        <f>IF(Einstellrichtwerte!Z44&lt;&gt;"",Einstellrichtwerte!Z44,"")</f>
        <v/>
      </c>
      <c r="X29" s="588"/>
      <c r="Y29" s="785" t="str">
        <f>IF(Einstellrichtwerte!AB44&lt;&gt;"",Einstellrichtwerte!AB44,"")</f>
        <v/>
      </c>
      <c r="Z29" s="588"/>
      <c r="AA29" s="785" t="str">
        <f>IF(Einstellrichtwerte!AD44&lt;&gt;"",Einstellrichtwerte!AD44,"")</f>
        <v/>
      </c>
      <c r="AB29" s="588"/>
      <c r="AC29" s="785" t="str">
        <f>IF(Einstellrichtwerte!AF44&lt;&gt;"",Einstellrichtwerte!AF44,"")</f>
        <v/>
      </c>
      <c r="AD29" s="588"/>
      <c r="AE29" s="785" t="str">
        <f>IF(Einstellrichtwerte!AH44&lt;&gt;"",Einstellrichtwerte!AH44,"")</f>
        <v/>
      </c>
      <c r="AF29" s="588"/>
      <c r="AG29" s="785" t="str">
        <f>IF(Einstellrichtwerte!AJ44&lt;&gt;"",Einstellrichtwerte!AJ44,"")</f>
        <v/>
      </c>
      <c r="AH29" s="588"/>
      <c r="AI29" s="785" t="str">
        <f>IF(Einstellrichtwerte!AL44&lt;&gt;"",Einstellrichtwerte!AL44,"")</f>
        <v/>
      </c>
      <c r="AJ29" s="588"/>
      <c r="AK29" s="44"/>
      <c r="AL29" s="136"/>
      <c r="AN29" s="208"/>
      <c r="AO29" s="208"/>
      <c r="AP29" s="208"/>
      <c r="AQ29" s="208"/>
      <c r="AR29" s="208"/>
      <c r="AS29" s="208"/>
      <c r="AT29" s="208"/>
      <c r="AU29" s="208"/>
      <c r="AV29" s="208"/>
      <c r="AW29" s="208"/>
      <c r="AX29" s="208"/>
      <c r="AY29" s="208"/>
      <c r="AZ29" s="208"/>
      <c r="BA29" s="208"/>
      <c r="BB29" s="208"/>
      <c r="BC29" s="208"/>
      <c r="BD29" s="208"/>
      <c r="BE29" s="208"/>
      <c r="BF29" s="208"/>
      <c r="BG29" s="208"/>
      <c r="BH29" s="208"/>
      <c r="BI29" s="208"/>
      <c r="BJ29" s="208"/>
      <c r="BK29" s="208"/>
      <c r="BL29" s="208"/>
      <c r="BM29" s="208"/>
      <c r="BN29" s="208"/>
      <c r="BO29" s="208"/>
      <c r="BP29" s="208"/>
      <c r="BQ29" s="208"/>
      <c r="BR29" s="208"/>
      <c r="BS29" s="209"/>
      <c r="BT29" s="202"/>
      <c r="BU29" s="202"/>
      <c r="BV29" s="202"/>
      <c r="BW29" s="202"/>
      <c r="BX29" s="202"/>
      <c r="BY29" s="202"/>
      <c r="BZ29" s="202"/>
      <c r="CA29" s="202"/>
      <c r="CB29" s="202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/>
      <c r="DE29" s="44"/>
      <c r="DF29" s="44"/>
      <c r="DG29" s="44"/>
      <c r="DH29" s="44"/>
      <c r="DI29" s="44"/>
      <c r="DJ29" s="44"/>
    </row>
    <row r="30" spans="1:114" ht="16.5" customHeight="1" thickBot="1" x14ac:dyDescent="0.3">
      <c r="A30" s="162"/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73"/>
      <c r="AN30" s="208"/>
      <c r="AO30" s="208"/>
      <c r="AP30" s="208"/>
      <c r="AQ30" s="208"/>
      <c r="AR30" s="208"/>
      <c r="AS30" s="208"/>
      <c r="AT30" s="208"/>
      <c r="AU30" s="208"/>
      <c r="AV30" s="208"/>
      <c r="AW30" s="208"/>
      <c r="AX30" s="208"/>
      <c r="AY30" s="208"/>
      <c r="AZ30" s="208"/>
      <c r="BA30" s="208"/>
      <c r="BB30" s="208"/>
      <c r="BC30" s="208"/>
      <c r="BD30" s="208"/>
      <c r="BE30" s="208"/>
      <c r="BF30" s="208"/>
      <c r="BG30" s="208"/>
      <c r="BH30" s="208"/>
      <c r="BI30" s="208"/>
      <c r="BJ30" s="208"/>
      <c r="BK30" s="208"/>
      <c r="BL30" s="208"/>
      <c r="BM30" s="208"/>
      <c r="BN30" s="208"/>
      <c r="BO30" s="208"/>
      <c r="BP30" s="208"/>
      <c r="BQ30" s="208"/>
      <c r="BR30" s="208"/>
      <c r="BS30" s="209"/>
      <c r="BT30" s="202"/>
      <c r="BU30" s="202"/>
      <c r="BV30" s="202"/>
      <c r="BW30" s="202"/>
      <c r="BX30" s="202"/>
      <c r="BY30" s="202"/>
      <c r="BZ30" s="202"/>
      <c r="CA30" s="202"/>
      <c r="CB30" s="202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4"/>
    </row>
    <row r="31" spans="1:114" ht="17.100000000000001" customHeight="1" x14ac:dyDescent="0.25">
      <c r="A31" s="328" t="str">
        <f>IF(Sprache="English","mold heating [°C] +/- 30°C",IF(Sprache="Deutsch","WE-Temperierung [°C] +/- 30°C",""))</f>
        <v>WE-Temperierung [°C] +/- 30°C</v>
      </c>
      <c r="B31" s="329"/>
      <c r="C31" s="329"/>
      <c r="D31" s="329"/>
      <c r="E31" s="185"/>
      <c r="F31" s="185"/>
      <c r="G31" s="300"/>
      <c r="H31" s="300"/>
      <c r="I31" s="300"/>
      <c r="J31" s="300"/>
      <c r="K31" s="300"/>
      <c r="L31" s="300"/>
      <c r="M31" s="300"/>
      <c r="N31" s="300"/>
      <c r="O31" s="300"/>
      <c r="P31" s="300"/>
      <c r="Q31" s="864" t="str">
        <f>IF(Sprache="English","fixed plate",IF(Sprache="Deutsch","Düsenseite",""))</f>
        <v>Düsenseite</v>
      </c>
      <c r="R31" s="864"/>
      <c r="S31" s="864"/>
      <c r="T31" s="864"/>
      <c r="U31" s="864"/>
      <c r="V31" s="864"/>
      <c r="W31" s="300"/>
      <c r="X31" s="300"/>
      <c r="Y31" s="300"/>
      <c r="Z31" s="300"/>
      <c r="AA31" s="300"/>
      <c r="AB31" s="300"/>
      <c r="AC31" s="300"/>
      <c r="AD31" s="300"/>
      <c r="AE31" s="300"/>
      <c r="AF31" s="300"/>
      <c r="AG31" s="300"/>
      <c r="AH31" s="300"/>
      <c r="AI31" s="300"/>
      <c r="AJ31" s="300"/>
      <c r="AK31" s="127"/>
      <c r="AL31" s="135"/>
      <c r="AN31" s="208"/>
      <c r="AO31" s="208"/>
      <c r="AP31" s="208"/>
      <c r="AQ31" s="208"/>
      <c r="AR31" s="208"/>
      <c r="AS31" s="208"/>
      <c r="AT31" s="208"/>
      <c r="AU31" s="208"/>
      <c r="AV31" s="208"/>
      <c r="AW31" s="208"/>
      <c r="AX31" s="208"/>
      <c r="AY31" s="208"/>
      <c r="AZ31" s="208"/>
      <c r="BA31" s="208"/>
      <c r="BB31" s="208"/>
      <c r="BC31" s="208"/>
      <c r="BD31" s="208"/>
      <c r="BE31" s="208"/>
      <c r="BF31" s="208"/>
      <c r="BG31" s="208"/>
      <c r="BH31" s="208"/>
      <c r="BI31" s="208"/>
      <c r="BJ31" s="208"/>
      <c r="BK31" s="208"/>
      <c r="BL31" s="208"/>
      <c r="BM31" s="208"/>
      <c r="BN31" s="208"/>
      <c r="BO31" s="208"/>
      <c r="BP31" s="208"/>
      <c r="BQ31" s="208"/>
      <c r="BR31" s="208"/>
      <c r="BS31" s="209"/>
      <c r="BT31" s="202"/>
      <c r="BU31" s="202"/>
      <c r="BV31" s="202"/>
      <c r="BW31" s="202"/>
      <c r="BX31" s="202"/>
      <c r="BY31" s="202"/>
      <c r="BZ31" s="202"/>
      <c r="CA31" s="202"/>
      <c r="CB31" s="202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4"/>
      <c r="DJ31" s="44"/>
    </row>
    <row r="32" spans="1:114" ht="17.100000000000001" customHeight="1" thickBot="1" x14ac:dyDescent="0.3">
      <c r="A32" s="163"/>
      <c r="B32" s="44"/>
      <c r="C32" s="44"/>
      <c r="D32" s="570" t="str">
        <f>IF(Sprache="English","description",IF(Sprache="Deutsch","Bezeichnung",""))</f>
        <v>Bezeichnung</v>
      </c>
      <c r="E32" s="570"/>
      <c r="F32" s="570"/>
      <c r="G32" s="570"/>
      <c r="H32" s="570"/>
      <c r="I32" s="570"/>
      <c r="J32" s="590" t="s">
        <v>125</v>
      </c>
      <c r="K32" s="590"/>
      <c r="L32" s="590"/>
      <c r="M32" s="590"/>
      <c r="N32" s="590"/>
      <c r="O32" s="590"/>
      <c r="P32" s="590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165"/>
      <c r="AL32" s="136"/>
      <c r="AN32" s="830" t="s">
        <v>120</v>
      </c>
      <c r="AO32" s="830"/>
      <c r="AP32" s="830"/>
      <c r="AQ32" s="830"/>
      <c r="AR32" s="208"/>
      <c r="AS32" s="208"/>
      <c r="AT32" s="208"/>
      <c r="AU32" s="208"/>
      <c r="AV32" s="208"/>
      <c r="AW32" s="208"/>
      <c r="AX32" s="208"/>
      <c r="AY32" s="208"/>
      <c r="AZ32" s="208"/>
      <c r="BA32" s="208"/>
      <c r="BB32" s="208"/>
      <c r="BC32" s="208"/>
      <c r="BD32" s="208"/>
      <c r="BE32" s="208"/>
      <c r="BF32" s="208"/>
      <c r="BG32" s="208"/>
      <c r="BH32" s="208"/>
      <c r="BI32" s="208"/>
      <c r="BJ32" s="208"/>
      <c r="BK32" s="208"/>
      <c r="BL32" s="208"/>
      <c r="BM32" s="208"/>
      <c r="BN32" s="208"/>
      <c r="BO32" s="208"/>
      <c r="BP32" s="208"/>
      <c r="BQ32" s="208"/>
      <c r="BR32" s="208"/>
      <c r="BS32" s="208"/>
      <c r="BT32" s="75"/>
      <c r="BU32" s="75"/>
      <c r="BV32" s="75"/>
      <c r="BW32" s="75"/>
      <c r="BX32" s="75"/>
      <c r="BY32" s="202"/>
      <c r="BZ32" s="202"/>
      <c r="CA32" s="202"/>
      <c r="CB32" s="202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4"/>
      <c r="DJ32" s="44"/>
    </row>
    <row r="33" spans="1:114" ht="17.100000000000001" customHeight="1" thickBot="1" x14ac:dyDescent="0.3">
      <c r="A33" s="306">
        <v>1</v>
      </c>
      <c r="B33" s="887" t="str">
        <f t="shared" ref="B33:B42" si="2">IF(Sprache="English","circle",IF(Sprache="Deutsch","Kreis",""))</f>
        <v>Kreis</v>
      </c>
      <c r="C33" s="888"/>
      <c r="D33" s="560" t="str">
        <f>""&amp;Einstellrichtwerte!F48</f>
        <v/>
      </c>
      <c r="E33" s="560"/>
      <c r="F33" s="560"/>
      <c r="G33" s="560"/>
      <c r="H33" s="560"/>
      <c r="I33" s="560"/>
      <c r="J33" s="580" t="str">
        <f>""&amp;Einstellrichtwerte!L48</f>
        <v/>
      </c>
      <c r="K33" s="581"/>
      <c r="L33" s="582"/>
      <c r="M33" s="166" t="s">
        <v>101</v>
      </c>
      <c r="N33" s="226" t="str">
        <f>IF(Einstellrichtwerte!P48&lt;&gt;"",Einstellrichtwerte!P48,"")</f>
        <v/>
      </c>
      <c r="O33" s="167" t="s">
        <v>104</v>
      </c>
      <c r="P33" s="228" t="str">
        <f>IF(Einstellrichtwerte!R48&lt;&gt;"",Einstellrichtwerte!R48,"")</f>
        <v/>
      </c>
      <c r="Q33" s="168" t="s">
        <v>103</v>
      </c>
      <c r="R33" s="227" t="str">
        <f>IF(Einstellrichtwerte!T48&lt;&gt;"",Einstellrichtwerte!T48,"")</f>
        <v/>
      </c>
      <c r="S33" s="167" t="s">
        <v>104</v>
      </c>
      <c r="T33" s="229" t="str">
        <f>IF(Einstellrichtwerte!V48&lt;&gt;"",Einstellrichtwerte!V48,"")</f>
        <v/>
      </c>
      <c r="U33" s="169" t="s">
        <v>103</v>
      </c>
      <c r="V33" s="226" t="str">
        <f>IF(Einstellrichtwerte!X48&lt;&gt;"",Einstellrichtwerte!X48,"")</f>
        <v/>
      </c>
      <c r="W33" s="167" t="s">
        <v>104</v>
      </c>
      <c r="X33" s="228" t="str">
        <f>IF(Einstellrichtwerte!Z48&lt;&gt;"",Einstellrichtwerte!Z48,"")</f>
        <v/>
      </c>
      <c r="Y33" s="168" t="s">
        <v>103</v>
      </c>
      <c r="Z33" s="227" t="str">
        <f>IF(Einstellrichtwerte!AB48&lt;&gt;"",Einstellrichtwerte!AB48,"")</f>
        <v/>
      </c>
      <c r="AA33" s="167" t="s">
        <v>104</v>
      </c>
      <c r="AB33" s="229" t="str">
        <f>IF(Einstellrichtwerte!AD48&lt;&gt;"",Einstellrichtwerte!AD48,"")</f>
        <v/>
      </c>
      <c r="AC33" s="169" t="s">
        <v>103</v>
      </c>
      <c r="AD33" s="226" t="str">
        <f>IF(Einstellrichtwerte!AF48&lt;&gt;"",Einstellrichtwerte!AF48,"")</f>
        <v/>
      </c>
      <c r="AE33" s="167" t="s">
        <v>104</v>
      </c>
      <c r="AF33" s="228" t="str">
        <f>IF(Einstellrichtwerte!AH48&lt;&gt;"",Einstellrichtwerte!AH48,"")</f>
        <v/>
      </c>
      <c r="AG33" s="168" t="s">
        <v>103</v>
      </c>
      <c r="AH33" s="227" t="str">
        <f>IF(Einstellrichtwerte!AJ48&lt;&gt;"",Einstellrichtwerte!AJ48,"")</f>
        <v/>
      </c>
      <c r="AI33" s="167" t="s">
        <v>104</v>
      </c>
      <c r="AJ33" s="229" t="str">
        <f>IF(Einstellrichtwerte!AL48&lt;&gt;"",Einstellrichtwerte!AL48,"")</f>
        <v/>
      </c>
      <c r="AK33" s="170" t="s">
        <v>102</v>
      </c>
      <c r="AL33" s="136"/>
      <c r="AN33" s="830" t="s">
        <v>119</v>
      </c>
      <c r="AO33" s="830"/>
      <c r="AP33" s="830"/>
      <c r="AQ33" s="830"/>
      <c r="AR33" s="830"/>
      <c r="AS33" s="208"/>
      <c r="AT33" s="208"/>
      <c r="AU33" s="208"/>
      <c r="AV33" s="208"/>
      <c r="AW33" s="208"/>
      <c r="AX33" s="208"/>
      <c r="AY33" s="208"/>
      <c r="AZ33" s="208"/>
      <c r="BA33" s="208"/>
      <c r="BB33" s="208"/>
      <c r="BC33" s="208"/>
      <c r="BD33" s="208"/>
      <c r="BE33" s="208"/>
      <c r="BF33" s="208"/>
      <c r="BG33" s="208"/>
      <c r="BH33" s="208"/>
      <c r="BI33" s="208"/>
      <c r="BJ33" s="208"/>
      <c r="BK33" s="208"/>
      <c r="BL33" s="208"/>
      <c r="BM33" s="208"/>
      <c r="BN33" s="208"/>
      <c r="BO33" s="208"/>
      <c r="BP33" s="208"/>
      <c r="BQ33" s="208"/>
      <c r="BR33" s="208"/>
      <c r="BS33" s="208"/>
      <c r="BT33" s="75"/>
      <c r="BU33" s="75"/>
      <c r="BV33" s="75"/>
      <c r="BW33" s="75"/>
      <c r="BX33" s="75"/>
      <c r="BY33" s="202"/>
      <c r="BZ33" s="202"/>
      <c r="CA33" s="202"/>
      <c r="CB33" s="202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</row>
    <row r="34" spans="1:114" ht="17.100000000000001" customHeight="1" thickBot="1" x14ac:dyDescent="0.3">
      <c r="A34" s="306">
        <v>2</v>
      </c>
      <c r="B34" s="887" t="str">
        <f t="shared" si="2"/>
        <v>Kreis</v>
      </c>
      <c r="C34" s="888"/>
      <c r="D34" s="560" t="str">
        <f>""&amp;Einstellrichtwerte!F49</f>
        <v/>
      </c>
      <c r="E34" s="560"/>
      <c r="F34" s="560"/>
      <c r="G34" s="560"/>
      <c r="H34" s="560"/>
      <c r="I34" s="560"/>
      <c r="J34" s="580" t="str">
        <f>""&amp;Einstellrichtwerte!L49</f>
        <v/>
      </c>
      <c r="K34" s="581"/>
      <c r="L34" s="582"/>
      <c r="M34" s="166" t="s">
        <v>101</v>
      </c>
      <c r="N34" s="226" t="str">
        <f>IF(Einstellrichtwerte!P49&lt;&gt;"",Einstellrichtwerte!P49,"")</f>
        <v/>
      </c>
      <c r="O34" s="167" t="s">
        <v>104</v>
      </c>
      <c r="P34" s="228" t="str">
        <f>IF(Einstellrichtwerte!R49&lt;&gt;"",Einstellrichtwerte!R49,"")</f>
        <v/>
      </c>
      <c r="Q34" s="168" t="s">
        <v>103</v>
      </c>
      <c r="R34" s="227" t="str">
        <f>IF(Einstellrichtwerte!T49&lt;&gt;"",Einstellrichtwerte!T49,"")</f>
        <v/>
      </c>
      <c r="S34" s="167" t="s">
        <v>104</v>
      </c>
      <c r="T34" s="229" t="str">
        <f>IF(Einstellrichtwerte!V49&lt;&gt;"",Einstellrichtwerte!V49,"")</f>
        <v/>
      </c>
      <c r="U34" s="169" t="s">
        <v>103</v>
      </c>
      <c r="V34" s="226" t="str">
        <f>IF(Einstellrichtwerte!X49&lt;&gt;"",Einstellrichtwerte!X49,"")</f>
        <v/>
      </c>
      <c r="W34" s="167" t="s">
        <v>104</v>
      </c>
      <c r="X34" s="228" t="str">
        <f>IF(Einstellrichtwerte!Z49&lt;&gt;"",Einstellrichtwerte!Z49,"")</f>
        <v/>
      </c>
      <c r="Y34" s="168" t="s">
        <v>103</v>
      </c>
      <c r="Z34" s="227" t="str">
        <f>IF(Einstellrichtwerte!AB49&lt;&gt;"",Einstellrichtwerte!AB49,"")</f>
        <v/>
      </c>
      <c r="AA34" s="167" t="s">
        <v>104</v>
      </c>
      <c r="AB34" s="229" t="str">
        <f>IF(Einstellrichtwerte!AD49&lt;&gt;"",Einstellrichtwerte!AD49,"")</f>
        <v/>
      </c>
      <c r="AC34" s="169" t="s">
        <v>103</v>
      </c>
      <c r="AD34" s="226" t="str">
        <f>IF(Einstellrichtwerte!AF49&lt;&gt;"",Einstellrichtwerte!AF49,"")</f>
        <v/>
      </c>
      <c r="AE34" s="167" t="s">
        <v>104</v>
      </c>
      <c r="AF34" s="228" t="str">
        <f>IF(Einstellrichtwerte!AH49&lt;&gt;"",Einstellrichtwerte!AH49,"")</f>
        <v/>
      </c>
      <c r="AG34" s="168" t="s">
        <v>103</v>
      </c>
      <c r="AH34" s="227" t="str">
        <f>IF(Einstellrichtwerte!AJ49&lt;&gt;"",Einstellrichtwerte!AJ49,"")</f>
        <v/>
      </c>
      <c r="AI34" s="167" t="s">
        <v>104</v>
      </c>
      <c r="AJ34" s="229" t="str">
        <f>IF(Einstellrichtwerte!AL49&lt;&gt;"",Einstellrichtwerte!AL49,"")</f>
        <v/>
      </c>
      <c r="AK34" s="170" t="s">
        <v>102</v>
      </c>
      <c r="AL34" s="136"/>
      <c r="AN34" s="208"/>
      <c r="AO34" s="208"/>
      <c r="AP34" s="208"/>
      <c r="AQ34" s="208"/>
      <c r="AR34" s="208"/>
      <c r="AS34" s="208"/>
      <c r="AT34" s="208"/>
      <c r="AU34" s="208"/>
      <c r="AV34" s="208"/>
      <c r="AW34" s="208"/>
      <c r="AX34" s="208"/>
      <c r="AY34" s="208"/>
      <c r="AZ34" s="208"/>
      <c r="BA34" s="208"/>
      <c r="BB34" s="208"/>
      <c r="BC34" s="208"/>
      <c r="BD34" s="208"/>
      <c r="BE34" s="208"/>
      <c r="BF34" s="208"/>
      <c r="BG34" s="208"/>
      <c r="BX34" s="75"/>
      <c r="BY34" s="202"/>
      <c r="BZ34" s="202"/>
      <c r="CA34" s="202"/>
      <c r="CB34" s="202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4"/>
      <c r="DJ34" s="44"/>
    </row>
    <row r="35" spans="1:114" ht="17.100000000000001" customHeight="1" thickBot="1" x14ac:dyDescent="0.3">
      <c r="A35" s="306">
        <v>3</v>
      </c>
      <c r="B35" s="887" t="str">
        <f t="shared" si="2"/>
        <v>Kreis</v>
      </c>
      <c r="C35" s="888"/>
      <c r="D35" s="560" t="str">
        <f>""&amp;Einstellrichtwerte!F50</f>
        <v/>
      </c>
      <c r="E35" s="560"/>
      <c r="F35" s="560"/>
      <c r="G35" s="560"/>
      <c r="H35" s="560"/>
      <c r="I35" s="560"/>
      <c r="J35" s="580" t="str">
        <f>""&amp;Einstellrichtwerte!L50</f>
        <v/>
      </c>
      <c r="K35" s="581"/>
      <c r="L35" s="582"/>
      <c r="M35" s="166" t="s">
        <v>101</v>
      </c>
      <c r="N35" s="226" t="str">
        <f>IF(Einstellrichtwerte!P50&lt;&gt;"",Einstellrichtwerte!P50,"")</f>
        <v/>
      </c>
      <c r="O35" s="167" t="s">
        <v>104</v>
      </c>
      <c r="P35" s="228" t="str">
        <f>IF(Einstellrichtwerte!R50&lt;&gt;"",Einstellrichtwerte!R50,"")</f>
        <v/>
      </c>
      <c r="Q35" s="168" t="s">
        <v>103</v>
      </c>
      <c r="R35" s="227" t="str">
        <f>IF(Einstellrichtwerte!T50&lt;&gt;"",Einstellrichtwerte!T50,"")</f>
        <v/>
      </c>
      <c r="S35" s="167" t="s">
        <v>104</v>
      </c>
      <c r="T35" s="229" t="str">
        <f>IF(Einstellrichtwerte!V50&lt;&gt;"",Einstellrichtwerte!V50,"")</f>
        <v/>
      </c>
      <c r="U35" s="169" t="s">
        <v>103</v>
      </c>
      <c r="V35" s="226" t="str">
        <f>IF(Einstellrichtwerte!X50&lt;&gt;"",Einstellrichtwerte!X50,"")</f>
        <v/>
      </c>
      <c r="W35" s="167" t="s">
        <v>104</v>
      </c>
      <c r="X35" s="228" t="str">
        <f>IF(Einstellrichtwerte!Z50&lt;&gt;"",Einstellrichtwerte!Z50,"")</f>
        <v/>
      </c>
      <c r="Y35" s="168" t="s">
        <v>103</v>
      </c>
      <c r="Z35" s="227" t="str">
        <f>IF(Einstellrichtwerte!AB50&lt;&gt;"",Einstellrichtwerte!AB50,"")</f>
        <v/>
      </c>
      <c r="AA35" s="167" t="s">
        <v>104</v>
      </c>
      <c r="AB35" s="229" t="str">
        <f>IF(Einstellrichtwerte!AD50&lt;&gt;"",Einstellrichtwerte!AD50,"")</f>
        <v/>
      </c>
      <c r="AC35" s="169" t="s">
        <v>103</v>
      </c>
      <c r="AD35" s="226" t="str">
        <f>IF(Einstellrichtwerte!AF50&lt;&gt;"",Einstellrichtwerte!AF50,"")</f>
        <v/>
      </c>
      <c r="AE35" s="167" t="s">
        <v>104</v>
      </c>
      <c r="AF35" s="228" t="str">
        <f>IF(Einstellrichtwerte!AH50&lt;&gt;"",Einstellrichtwerte!AH50,"")</f>
        <v/>
      </c>
      <c r="AG35" s="168" t="s">
        <v>103</v>
      </c>
      <c r="AH35" s="227" t="str">
        <f>IF(Einstellrichtwerte!AJ50&lt;&gt;"",Einstellrichtwerte!AJ50,"")</f>
        <v/>
      </c>
      <c r="AI35" s="167" t="s">
        <v>104</v>
      </c>
      <c r="AJ35" s="229" t="str">
        <f>IF(Einstellrichtwerte!AL50&lt;&gt;"",Einstellrichtwerte!AL50,"")</f>
        <v/>
      </c>
      <c r="AK35" s="170" t="s">
        <v>102</v>
      </c>
      <c r="AL35" s="136"/>
      <c r="AN35" s="208"/>
      <c r="AO35" s="208"/>
      <c r="AP35" s="208"/>
      <c r="AQ35" s="208"/>
      <c r="AR35" s="208"/>
      <c r="AS35" s="208"/>
      <c r="AT35" s="208"/>
      <c r="AU35" s="208"/>
      <c r="AV35" s="208"/>
      <c r="AW35" s="208"/>
      <c r="AX35" s="208"/>
      <c r="AY35" s="208"/>
      <c r="AZ35" s="208"/>
      <c r="BA35" s="208"/>
      <c r="BB35" s="208"/>
      <c r="BC35" s="208"/>
      <c r="BD35" s="208"/>
      <c r="BE35" s="208"/>
      <c r="BF35" s="208"/>
      <c r="BG35" s="208"/>
      <c r="BH35" s="208"/>
      <c r="BI35" s="208"/>
      <c r="BJ35" s="208"/>
      <c r="BK35" s="208"/>
      <c r="BL35" s="208"/>
      <c r="BM35" s="208"/>
      <c r="BN35" s="208"/>
      <c r="BO35" s="208"/>
      <c r="BP35" s="208"/>
      <c r="BQ35" s="208"/>
      <c r="BR35" s="208"/>
      <c r="BS35" s="208"/>
      <c r="BT35" s="75"/>
      <c r="BU35" s="75"/>
      <c r="BV35" s="75"/>
      <c r="BW35" s="75"/>
      <c r="BX35" s="75"/>
      <c r="BY35" s="202"/>
      <c r="BZ35" s="202"/>
      <c r="CA35" s="202"/>
      <c r="CB35" s="202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</row>
    <row r="36" spans="1:114" ht="17.100000000000001" customHeight="1" thickBot="1" x14ac:dyDescent="0.3">
      <c r="A36" s="306">
        <v>4</v>
      </c>
      <c r="B36" s="887" t="str">
        <f t="shared" si="2"/>
        <v>Kreis</v>
      </c>
      <c r="C36" s="888"/>
      <c r="D36" s="560" t="str">
        <f>""&amp;Einstellrichtwerte!F51</f>
        <v/>
      </c>
      <c r="E36" s="560"/>
      <c r="F36" s="560"/>
      <c r="G36" s="560"/>
      <c r="H36" s="560"/>
      <c r="I36" s="560"/>
      <c r="J36" s="580" t="str">
        <f>""&amp;Einstellrichtwerte!L51</f>
        <v/>
      </c>
      <c r="K36" s="581"/>
      <c r="L36" s="582"/>
      <c r="M36" s="166" t="s">
        <v>101</v>
      </c>
      <c r="N36" s="226" t="str">
        <f>IF(Einstellrichtwerte!P51&lt;&gt;"",Einstellrichtwerte!P51,"")</f>
        <v/>
      </c>
      <c r="O36" s="167" t="s">
        <v>104</v>
      </c>
      <c r="P36" s="228" t="str">
        <f>IF(Einstellrichtwerte!R51&lt;&gt;"",Einstellrichtwerte!R51,"")</f>
        <v/>
      </c>
      <c r="Q36" s="168" t="s">
        <v>103</v>
      </c>
      <c r="R36" s="227" t="str">
        <f>IF(Einstellrichtwerte!T51&lt;&gt;"",Einstellrichtwerte!T51,"")</f>
        <v/>
      </c>
      <c r="S36" s="167" t="s">
        <v>104</v>
      </c>
      <c r="T36" s="229" t="str">
        <f>IF(Einstellrichtwerte!V51&lt;&gt;"",Einstellrichtwerte!V51,"")</f>
        <v/>
      </c>
      <c r="U36" s="169" t="s">
        <v>103</v>
      </c>
      <c r="V36" s="226" t="str">
        <f>IF(Einstellrichtwerte!X51&lt;&gt;"",Einstellrichtwerte!X51,"")</f>
        <v/>
      </c>
      <c r="W36" s="167" t="s">
        <v>104</v>
      </c>
      <c r="X36" s="228" t="str">
        <f>IF(Einstellrichtwerte!Z51&lt;&gt;"",Einstellrichtwerte!Z51,"")</f>
        <v/>
      </c>
      <c r="Y36" s="168" t="s">
        <v>103</v>
      </c>
      <c r="Z36" s="227" t="str">
        <f>IF(Einstellrichtwerte!AB51&lt;&gt;"",Einstellrichtwerte!AB51,"")</f>
        <v/>
      </c>
      <c r="AA36" s="167" t="s">
        <v>104</v>
      </c>
      <c r="AB36" s="229" t="str">
        <f>IF(Einstellrichtwerte!AD51&lt;&gt;"",Einstellrichtwerte!AD51,"")</f>
        <v/>
      </c>
      <c r="AC36" s="169" t="s">
        <v>103</v>
      </c>
      <c r="AD36" s="226" t="str">
        <f>IF(Einstellrichtwerte!AF51&lt;&gt;"",Einstellrichtwerte!AF51,"")</f>
        <v/>
      </c>
      <c r="AE36" s="167" t="s">
        <v>104</v>
      </c>
      <c r="AF36" s="228" t="str">
        <f>IF(Einstellrichtwerte!AH51&lt;&gt;"",Einstellrichtwerte!AH51,"")</f>
        <v/>
      </c>
      <c r="AG36" s="168" t="s">
        <v>103</v>
      </c>
      <c r="AH36" s="227" t="str">
        <f>IF(Einstellrichtwerte!AJ51&lt;&gt;"",Einstellrichtwerte!AJ51,"")</f>
        <v/>
      </c>
      <c r="AI36" s="167" t="s">
        <v>104</v>
      </c>
      <c r="AJ36" s="229" t="str">
        <f>IF(Einstellrichtwerte!AL51&lt;&gt;"",Einstellrichtwerte!AL51,"")</f>
        <v/>
      </c>
      <c r="AK36" s="170" t="s">
        <v>102</v>
      </c>
      <c r="AL36" s="136"/>
      <c r="AN36" s="199"/>
      <c r="AO36" s="199"/>
      <c r="AP36" s="199"/>
      <c r="AQ36" s="199"/>
      <c r="AR36" s="199"/>
      <c r="AS36" s="199"/>
      <c r="AT36" s="199"/>
      <c r="AU36" s="199"/>
      <c r="AV36" s="199"/>
      <c r="AW36" s="199"/>
      <c r="AX36" s="199"/>
      <c r="AY36" s="199"/>
      <c r="AZ36" s="199"/>
      <c r="BA36" s="199"/>
      <c r="BB36" s="199"/>
      <c r="BC36" s="199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79"/>
      <c r="BU36" s="79"/>
      <c r="BV36" s="79"/>
      <c r="BW36" s="79"/>
      <c r="BX36" s="79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4"/>
      <c r="DJ36" s="44"/>
    </row>
    <row r="37" spans="1:114" ht="17.100000000000001" customHeight="1" thickBot="1" x14ac:dyDescent="0.3">
      <c r="A37" s="306">
        <v>5</v>
      </c>
      <c r="B37" s="887" t="str">
        <f t="shared" si="2"/>
        <v>Kreis</v>
      </c>
      <c r="C37" s="888"/>
      <c r="D37" s="560" t="str">
        <f>""&amp;Einstellrichtwerte!F52</f>
        <v/>
      </c>
      <c r="E37" s="560"/>
      <c r="F37" s="560"/>
      <c r="G37" s="560"/>
      <c r="H37" s="560"/>
      <c r="I37" s="560"/>
      <c r="J37" s="580" t="str">
        <f>""&amp;Einstellrichtwerte!L52</f>
        <v/>
      </c>
      <c r="K37" s="581"/>
      <c r="L37" s="582"/>
      <c r="M37" s="166" t="s">
        <v>101</v>
      </c>
      <c r="N37" s="226" t="str">
        <f>IF(Einstellrichtwerte!P52&lt;&gt;"",Einstellrichtwerte!P52,"")</f>
        <v/>
      </c>
      <c r="O37" s="167" t="s">
        <v>104</v>
      </c>
      <c r="P37" s="228" t="str">
        <f>IF(Einstellrichtwerte!R52&lt;&gt;"",Einstellrichtwerte!R52,"")</f>
        <v/>
      </c>
      <c r="Q37" s="168" t="s">
        <v>103</v>
      </c>
      <c r="R37" s="227" t="str">
        <f>IF(Einstellrichtwerte!T52&lt;&gt;"",Einstellrichtwerte!T52,"")</f>
        <v/>
      </c>
      <c r="S37" s="167" t="s">
        <v>104</v>
      </c>
      <c r="T37" s="229" t="str">
        <f>IF(Einstellrichtwerte!V52&lt;&gt;"",Einstellrichtwerte!V52,"")</f>
        <v/>
      </c>
      <c r="U37" s="169" t="s">
        <v>103</v>
      </c>
      <c r="V37" s="226" t="str">
        <f>IF(Einstellrichtwerte!X52&lt;&gt;"",Einstellrichtwerte!X52,"")</f>
        <v/>
      </c>
      <c r="W37" s="167" t="s">
        <v>104</v>
      </c>
      <c r="X37" s="228" t="str">
        <f>IF(Einstellrichtwerte!Z52&lt;&gt;"",Einstellrichtwerte!Z52,"")</f>
        <v/>
      </c>
      <c r="Y37" s="168" t="s">
        <v>103</v>
      </c>
      <c r="Z37" s="227" t="str">
        <f>IF(Einstellrichtwerte!AB52&lt;&gt;"",Einstellrichtwerte!AB52,"")</f>
        <v/>
      </c>
      <c r="AA37" s="167" t="s">
        <v>104</v>
      </c>
      <c r="AB37" s="229" t="str">
        <f>IF(Einstellrichtwerte!AD52&lt;&gt;"",Einstellrichtwerte!AD52,"")</f>
        <v/>
      </c>
      <c r="AC37" s="169" t="s">
        <v>103</v>
      </c>
      <c r="AD37" s="226" t="str">
        <f>IF(Einstellrichtwerte!AF52&lt;&gt;"",Einstellrichtwerte!AF52,"")</f>
        <v/>
      </c>
      <c r="AE37" s="167" t="s">
        <v>104</v>
      </c>
      <c r="AF37" s="228" t="str">
        <f>IF(Einstellrichtwerte!AH52&lt;&gt;"",Einstellrichtwerte!AH52,"")</f>
        <v/>
      </c>
      <c r="AG37" s="168" t="s">
        <v>103</v>
      </c>
      <c r="AH37" s="227" t="str">
        <f>IF(Einstellrichtwerte!AJ52&lt;&gt;"",Einstellrichtwerte!AJ52,"")</f>
        <v/>
      </c>
      <c r="AI37" s="167" t="s">
        <v>104</v>
      </c>
      <c r="AJ37" s="229" t="str">
        <f>IF(Einstellrichtwerte!AL52&lt;&gt;"",Einstellrichtwerte!AL52,"")</f>
        <v/>
      </c>
      <c r="AK37" s="170" t="s">
        <v>102</v>
      </c>
      <c r="AL37" s="136"/>
      <c r="AN37" s="205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5"/>
      <c r="AZ37" s="205"/>
      <c r="BA37" s="205"/>
      <c r="BB37" s="205"/>
      <c r="BC37" s="205"/>
      <c r="BD37" s="205"/>
      <c r="BE37" s="205"/>
      <c r="BF37" s="205"/>
      <c r="BG37" s="205"/>
      <c r="BH37" s="205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</row>
    <row r="38" spans="1:114" ht="17.100000000000001" customHeight="1" thickBot="1" x14ac:dyDescent="0.3">
      <c r="A38" s="306">
        <v>6</v>
      </c>
      <c r="B38" s="887" t="str">
        <f t="shared" si="2"/>
        <v>Kreis</v>
      </c>
      <c r="C38" s="888"/>
      <c r="D38" s="560" t="str">
        <f>""&amp;Einstellrichtwerte!F53</f>
        <v/>
      </c>
      <c r="E38" s="560"/>
      <c r="F38" s="560"/>
      <c r="G38" s="560"/>
      <c r="H38" s="560"/>
      <c r="I38" s="560"/>
      <c r="J38" s="580" t="str">
        <f>""&amp;Einstellrichtwerte!L53</f>
        <v/>
      </c>
      <c r="K38" s="581"/>
      <c r="L38" s="582"/>
      <c r="M38" s="166" t="s">
        <v>101</v>
      </c>
      <c r="N38" s="226" t="str">
        <f>IF(Einstellrichtwerte!P53&lt;&gt;"",Einstellrichtwerte!P53,"")</f>
        <v/>
      </c>
      <c r="O38" s="167" t="s">
        <v>104</v>
      </c>
      <c r="P38" s="228" t="str">
        <f>IF(Einstellrichtwerte!R53&lt;&gt;"",Einstellrichtwerte!R53,"")</f>
        <v/>
      </c>
      <c r="Q38" s="168" t="s">
        <v>103</v>
      </c>
      <c r="R38" s="227" t="str">
        <f>IF(Einstellrichtwerte!T53&lt;&gt;"",Einstellrichtwerte!T53,"")</f>
        <v/>
      </c>
      <c r="S38" s="167" t="s">
        <v>104</v>
      </c>
      <c r="T38" s="229" t="str">
        <f>IF(Einstellrichtwerte!V53&lt;&gt;"",Einstellrichtwerte!V53,"")</f>
        <v/>
      </c>
      <c r="U38" s="169" t="s">
        <v>103</v>
      </c>
      <c r="V38" s="226" t="str">
        <f>IF(Einstellrichtwerte!X53&lt;&gt;"",Einstellrichtwerte!X53,"")</f>
        <v/>
      </c>
      <c r="W38" s="167" t="s">
        <v>104</v>
      </c>
      <c r="X38" s="228" t="str">
        <f>IF(Einstellrichtwerte!Z53&lt;&gt;"",Einstellrichtwerte!Z53,"")</f>
        <v/>
      </c>
      <c r="Y38" s="168" t="s">
        <v>103</v>
      </c>
      <c r="Z38" s="227" t="str">
        <f>IF(Einstellrichtwerte!AB53&lt;&gt;"",Einstellrichtwerte!AB53,"")</f>
        <v/>
      </c>
      <c r="AA38" s="167" t="s">
        <v>104</v>
      </c>
      <c r="AB38" s="229" t="str">
        <f>IF(Einstellrichtwerte!AD53&lt;&gt;"",Einstellrichtwerte!AD53,"")</f>
        <v/>
      </c>
      <c r="AC38" s="169" t="s">
        <v>103</v>
      </c>
      <c r="AD38" s="226" t="str">
        <f>IF(Einstellrichtwerte!AF53&lt;&gt;"",Einstellrichtwerte!AF53,"")</f>
        <v/>
      </c>
      <c r="AE38" s="167" t="s">
        <v>104</v>
      </c>
      <c r="AF38" s="228" t="str">
        <f>IF(Einstellrichtwerte!AH53&lt;&gt;"",Einstellrichtwerte!AH53,"")</f>
        <v/>
      </c>
      <c r="AG38" s="168" t="s">
        <v>103</v>
      </c>
      <c r="AH38" s="227" t="str">
        <f>IF(Einstellrichtwerte!AJ53&lt;&gt;"",Einstellrichtwerte!AJ53,"")</f>
        <v/>
      </c>
      <c r="AI38" s="167" t="s">
        <v>104</v>
      </c>
      <c r="AJ38" s="229" t="str">
        <f>IF(Einstellrichtwerte!AL53&lt;&gt;"",Einstellrichtwerte!AL53,"")</f>
        <v/>
      </c>
      <c r="AK38" s="170" t="s">
        <v>102</v>
      </c>
      <c r="AL38" s="136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</row>
    <row r="39" spans="1:114" ht="17.100000000000001" customHeight="1" thickBot="1" x14ac:dyDescent="0.3">
      <c r="A39" s="306">
        <v>7</v>
      </c>
      <c r="B39" s="887" t="str">
        <f t="shared" si="2"/>
        <v>Kreis</v>
      </c>
      <c r="C39" s="888"/>
      <c r="D39" s="560" t="str">
        <f>""&amp;Einstellrichtwerte!F54</f>
        <v/>
      </c>
      <c r="E39" s="560"/>
      <c r="F39" s="560"/>
      <c r="G39" s="560"/>
      <c r="H39" s="560"/>
      <c r="I39" s="560"/>
      <c r="J39" s="580" t="str">
        <f>""&amp;Einstellrichtwerte!L54</f>
        <v/>
      </c>
      <c r="K39" s="581"/>
      <c r="L39" s="582"/>
      <c r="M39" s="166" t="s">
        <v>101</v>
      </c>
      <c r="N39" s="226" t="str">
        <f>IF(Einstellrichtwerte!P54&lt;&gt;"",Einstellrichtwerte!P54,"")</f>
        <v/>
      </c>
      <c r="O39" s="167" t="s">
        <v>104</v>
      </c>
      <c r="P39" s="228" t="str">
        <f>IF(Einstellrichtwerte!R54&lt;&gt;"",Einstellrichtwerte!R54,"")</f>
        <v/>
      </c>
      <c r="Q39" s="168" t="s">
        <v>103</v>
      </c>
      <c r="R39" s="227" t="str">
        <f>IF(Einstellrichtwerte!T54&lt;&gt;"",Einstellrichtwerte!T54,"")</f>
        <v/>
      </c>
      <c r="S39" s="167" t="s">
        <v>104</v>
      </c>
      <c r="T39" s="229" t="str">
        <f>IF(Einstellrichtwerte!V54&lt;&gt;"",Einstellrichtwerte!V54,"")</f>
        <v/>
      </c>
      <c r="U39" s="169" t="s">
        <v>103</v>
      </c>
      <c r="V39" s="226" t="str">
        <f>IF(Einstellrichtwerte!X54&lt;&gt;"",Einstellrichtwerte!X54,"")</f>
        <v/>
      </c>
      <c r="W39" s="167" t="s">
        <v>104</v>
      </c>
      <c r="X39" s="228" t="str">
        <f>IF(Einstellrichtwerte!Z54&lt;&gt;"",Einstellrichtwerte!Z54,"")</f>
        <v/>
      </c>
      <c r="Y39" s="168" t="s">
        <v>103</v>
      </c>
      <c r="Z39" s="227" t="str">
        <f>IF(Einstellrichtwerte!AB54&lt;&gt;"",Einstellrichtwerte!AB54,"")</f>
        <v/>
      </c>
      <c r="AA39" s="167" t="s">
        <v>104</v>
      </c>
      <c r="AB39" s="229" t="str">
        <f>IF(Einstellrichtwerte!AD54&lt;&gt;"",Einstellrichtwerte!AD54,"")</f>
        <v/>
      </c>
      <c r="AC39" s="169" t="s">
        <v>103</v>
      </c>
      <c r="AD39" s="226" t="str">
        <f>IF(Einstellrichtwerte!AF54&lt;&gt;"",Einstellrichtwerte!AF54,"")</f>
        <v/>
      </c>
      <c r="AE39" s="167" t="s">
        <v>104</v>
      </c>
      <c r="AF39" s="228" t="str">
        <f>IF(Einstellrichtwerte!AH54&lt;&gt;"",Einstellrichtwerte!AH54,"")</f>
        <v/>
      </c>
      <c r="AG39" s="168" t="s">
        <v>103</v>
      </c>
      <c r="AH39" s="227" t="str">
        <f>IF(Einstellrichtwerte!AJ54&lt;&gt;"",Einstellrichtwerte!AJ54,"")</f>
        <v/>
      </c>
      <c r="AI39" s="167" t="s">
        <v>104</v>
      </c>
      <c r="AJ39" s="229" t="str">
        <f>IF(Einstellrichtwerte!AL54&lt;&gt;"",Einstellrichtwerte!AL54,"")</f>
        <v/>
      </c>
      <c r="AK39" s="170" t="s">
        <v>102</v>
      </c>
      <c r="AL39" s="136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</row>
    <row r="40" spans="1:114" ht="17.100000000000001" customHeight="1" thickBot="1" x14ac:dyDescent="0.3">
      <c r="A40" s="306">
        <v>8</v>
      </c>
      <c r="B40" s="887" t="str">
        <f t="shared" si="2"/>
        <v>Kreis</v>
      </c>
      <c r="C40" s="888"/>
      <c r="D40" s="560" t="str">
        <f>""&amp;Einstellrichtwerte!F55</f>
        <v/>
      </c>
      <c r="E40" s="560"/>
      <c r="F40" s="560"/>
      <c r="G40" s="560"/>
      <c r="H40" s="560"/>
      <c r="I40" s="560"/>
      <c r="J40" s="580" t="str">
        <f>""&amp;Einstellrichtwerte!L55</f>
        <v/>
      </c>
      <c r="K40" s="581"/>
      <c r="L40" s="582"/>
      <c r="M40" s="166" t="s">
        <v>101</v>
      </c>
      <c r="N40" s="226" t="str">
        <f>IF(Einstellrichtwerte!P55&lt;&gt;"",Einstellrichtwerte!P55,"")</f>
        <v/>
      </c>
      <c r="O40" s="167" t="s">
        <v>104</v>
      </c>
      <c r="P40" s="228" t="str">
        <f>IF(Einstellrichtwerte!R55&lt;&gt;"",Einstellrichtwerte!R55,"")</f>
        <v/>
      </c>
      <c r="Q40" s="168" t="s">
        <v>103</v>
      </c>
      <c r="R40" s="227" t="str">
        <f>IF(Einstellrichtwerte!T55&lt;&gt;"",Einstellrichtwerte!T55,"")</f>
        <v/>
      </c>
      <c r="S40" s="167" t="s">
        <v>104</v>
      </c>
      <c r="T40" s="229" t="str">
        <f>IF(Einstellrichtwerte!V55&lt;&gt;"",Einstellrichtwerte!V55,"")</f>
        <v/>
      </c>
      <c r="U40" s="169" t="s">
        <v>103</v>
      </c>
      <c r="V40" s="226" t="str">
        <f>IF(Einstellrichtwerte!X55&lt;&gt;"",Einstellrichtwerte!X55,"")</f>
        <v/>
      </c>
      <c r="W40" s="167" t="s">
        <v>104</v>
      </c>
      <c r="X40" s="228" t="str">
        <f>IF(Einstellrichtwerte!Z55&lt;&gt;"",Einstellrichtwerte!Z55,"")</f>
        <v/>
      </c>
      <c r="Y40" s="168" t="s">
        <v>103</v>
      </c>
      <c r="Z40" s="227" t="str">
        <f>IF(Einstellrichtwerte!AB55&lt;&gt;"",Einstellrichtwerte!AB55,"")</f>
        <v/>
      </c>
      <c r="AA40" s="167" t="s">
        <v>104</v>
      </c>
      <c r="AB40" s="229" t="str">
        <f>IF(Einstellrichtwerte!AD55&lt;&gt;"",Einstellrichtwerte!AD55,"")</f>
        <v/>
      </c>
      <c r="AC40" s="169" t="s">
        <v>103</v>
      </c>
      <c r="AD40" s="226" t="str">
        <f>IF(Einstellrichtwerte!AF55&lt;&gt;"",Einstellrichtwerte!AF55,"")</f>
        <v/>
      </c>
      <c r="AE40" s="167" t="s">
        <v>104</v>
      </c>
      <c r="AF40" s="228" t="str">
        <f>IF(Einstellrichtwerte!AH55&lt;&gt;"",Einstellrichtwerte!AH55,"")</f>
        <v/>
      </c>
      <c r="AG40" s="168" t="s">
        <v>103</v>
      </c>
      <c r="AH40" s="227" t="str">
        <f>IF(Einstellrichtwerte!AJ55&lt;&gt;"",Einstellrichtwerte!AJ55,"")</f>
        <v/>
      </c>
      <c r="AI40" s="167" t="s">
        <v>104</v>
      </c>
      <c r="AJ40" s="229" t="str">
        <f>IF(Einstellrichtwerte!AL55&lt;&gt;"",Einstellrichtwerte!AL55,"")</f>
        <v/>
      </c>
      <c r="AK40" s="170" t="s">
        <v>102</v>
      </c>
      <c r="AL40" s="136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</row>
    <row r="41" spans="1:114" ht="17.100000000000001" customHeight="1" thickBot="1" x14ac:dyDescent="0.3">
      <c r="A41" s="306">
        <v>9</v>
      </c>
      <c r="B41" s="887" t="str">
        <f t="shared" si="2"/>
        <v>Kreis</v>
      </c>
      <c r="C41" s="888"/>
      <c r="D41" s="560" t="str">
        <f>""&amp;Einstellrichtwerte!F56</f>
        <v/>
      </c>
      <c r="E41" s="560"/>
      <c r="F41" s="560"/>
      <c r="G41" s="560"/>
      <c r="H41" s="560"/>
      <c r="I41" s="560"/>
      <c r="J41" s="580" t="str">
        <f>""&amp;Einstellrichtwerte!L56</f>
        <v/>
      </c>
      <c r="K41" s="581"/>
      <c r="L41" s="582"/>
      <c r="M41" s="166" t="s">
        <v>101</v>
      </c>
      <c r="N41" s="226" t="str">
        <f>IF(Einstellrichtwerte!P56&lt;&gt;"",Einstellrichtwerte!P56,"")</f>
        <v/>
      </c>
      <c r="O41" s="167" t="s">
        <v>104</v>
      </c>
      <c r="P41" s="228" t="str">
        <f>IF(Einstellrichtwerte!R56&lt;&gt;"",Einstellrichtwerte!R56,"")</f>
        <v/>
      </c>
      <c r="Q41" s="168" t="s">
        <v>103</v>
      </c>
      <c r="R41" s="227" t="str">
        <f>IF(Einstellrichtwerte!T56&lt;&gt;"",Einstellrichtwerte!T56,"")</f>
        <v/>
      </c>
      <c r="S41" s="167" t="s">
        <v>104</v>
      </c>
      <c r="T41" s="229" t="str">
        <f>IF(Einstellrichtwerte!V56&lt;&gt;"",Einstellrichtwerte!V56,"")</f>
        <v/>
      </c>
      <c r="U41" s="169" t="s">
        <v>103</v>
      </c>
      <c r="V41" s="226" t="str">
        <f>IF(Einstellrichtwerte!X56&lt;&gt;"",Einstellrichtwerte!X56,"")</f>
        <v/>
      </c>
      <c r="W41" s="167" t="s">
        <v>104</v>
      </c>
      <c r="X41" s="228" t="str">
        <f>IF(Einstellrichtwerte!Z56&lt;&gt;"",Einstellrichtwerte!Z56,"")</f>
        <v/>
      </c>
      <c r="Y41" s="168" t="s">
        <v>103</v>
      </c>
      <c r="Z41" s="227" t="str">
        <f>IF(Einstellrichtwerte!AB56&lt;&gt;"",Einstellrichtwerte!AB56,"")</f>
        <v/>
      </c>
      <c r="AA41" s="167" t="s">
        <v>104</v>
      </c>
      <c r="AB41" s="229" t="str">
        <f>IF(Einstellrichtwerte!AD56&lt;&gt;"",Einstellrichtwerte!AD56,"")</f>
        <v/>
      </c>
      <c r="AC41" s="169" t="s">
        <v>103</v>
      </c>
      <c r="AD41" s="226" t="str">
        <f>IF(Einstellrichtwerte!AF56&lt;&gt;"",Einstellrichtwerte!AF56,"")</f>
        <v/>
      </c>
      <c r="AE41" s="167" t="s">
        <v>104</v>
      </c>
      <c r="AF41" s="228" t="str">
        <f>IF(Einstellrichtwerte!AH56&lt;&gt;"",Einstellrichtwerte!AH56,"")</f>
        <v/>
      </c>
      <c r="AG41" s="168" t="s">
        <v>103</v>
      </c>
      <c r="AH41" s="227" t="str">
        <f>IF(Einstellrichtwerte!AJ56&lt;&gt;"",Einstellrichtwerte!AJ56,"")</f>
        <v/>
      </c>
      <c r="AI41" s="167" t="s">
        <v>104</v>
      </c>
      <c r="AJ41" s="229" t="str">
        <f>IF(Einstellrichtwerte!AL56&lt;&gt;"",Einstellrichtwerte!AL56,"")</f>
        <v/>
      </c>
      <c r="AK41" s="170" t="s">
        <v>102</v>
      </c>
      <c r="AL41" s="136"/>
      <c r="AN41" s="205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5"/>
      <c r="AZ41" s="205"/>
      <c r="BA41" s="205"/>
      <c r="BB41" s="205"/>
      <c r="BC41" s="205"/>
      <c r="BD41" s="205"/>
      <c r="BE41" s="205"/>
      <c r="BF41" s="205"/>
      <c r="BG41" s="205"/>
      <c r="BH41" s="205"/>
      <c r="BI41" s="205"/>
      <c r="BJ41" s="205"/>
      <c r="BK41" s="205"/>
      <c r="BL41" s="205"/>
      <c r="BM41" s="205"/>
      <c r="BN41" s="205"/>
      <c r="BO41" s="205"/>
      <c r="BP41" s="205"/>
      <c r="BQ41" s="205"/>
      <c r="BR41" s="205"/>
      <c r="BS41" s="205"/>
    </row>
    <row r="42" spans="1:114" ht="17.100000000000001" customHeight="1" thickBot="1" x14ac:dyDescent="0.45">
      <c r="A42" s="306">
        <v>10</v>
      </c>
      <c r="B42" s="887" t="str">
        <f t="shared" si="2"/>
        <v>Kreis</v>
      </c>
      <c r="C42" s="888"/>
      <c r="D42" s="560" t="str">
        <f>""&amp;Einstellrichtwerte!F57</f>
        <v/>
      </c>
      <c r="E42" s="560"/>
      <c r="F42" s="560"/>
      <c r="G42" s="560"/>
      <c r="H42" s="560"/>
      <c r="I42" s="560"/>
      <c r="J42" s="580" t="str">
        <f>""&amp;Einstellrichtwerte!L57</f>
        <v/>
      </c>
      <c r="K42" s="581"/>
      <c r="L42" s="582"/>
      <c r="M42" s="166" t="s">
        <v>101</v>
      </c>
      <c r="N42" s="226" t="str">
        <f>IF(Einstellrichtwerte!P57&lt;&gt;"",Einstellrichtwerte!P57,"")</f>
        <v/>
      </c>
      <c r="O42" s="167" t="s">
        <v>104</v>
      </c>
      <c r="P42" s="228" t="str">
        <f>IF(Einstellrichtwerte!R57&lt;&gt;"",Einstellrichtwerte!R57,"")</f>
        <v/>
      </c>
      <c r="Q42" s="168" t="s">
        <v>103</v>
      </c>
      <c r="R42" s="227" t="str">
        <f>IF(Einstellrichtwerte!T57&lt;&gt;"",Einstellrichtwerte!T57,"")</f>
        <v/>
      </c>
      <c r="S42" s="167" t="s">
        <v>104</v>
      </c>
      <c r="T42" s="229" t="str">
        <f>IF(Einstellrichtwerte!V57&lt;&gt;"",Einstellrichtwerte!V57,"")</f>
        <v/>
      </c>
      <c r="U42" s="169" t="s">
        <v>103</v>
      </c>
      <c r="V42" s="226" t="str">
        <f>IF(Einstellrichtwerte!X57&lt;&gt;"",Einstellrichtwerte!X57,"")</f>
        <v/>
      </c>
      <c r="W42" s="167" t="s">
        <v>104</v>
      </c>
      <c r="X42" s="228" t="str">
        <f>IF(Einstellrichtwerte!Z57&lt;&gt;"",Einstellrichtwerte!Z57,"")</f>
        <v/>
      </c>
      <c r="Y42" s="168" t="s">
        <v>103</v>
      </c>
      <c r="Z42" s="227" t="str">
        <f>IF(Einstellrichtwerte!AB57&lt;&gt;"",Einstellrichtwerte!AB57,"")</f>
        <v/>
      </c>
      <c r="AA42" s="167" t="s">
        <v>104</v>
      </c>
      <c r="AB42" s="229" t="str">
        <f>IF(Einstellrichtwerte!AD57&lt;&gt;"",Einstellrichtwerte!AD57,"")</f>
        <v/>
      </c>
      <c r="AC42" s="169" t="s">
        <v>103</v>
      </c>
      <c r="AD42" s="226" t="str">
        <f>IF(Einstellrichtwerte!AF57&lt;&gt;"",Einstellrichtwerte!AF57,"")</f>
        <v/>
      </c>
      <c r="AE42" s="167" t="s">
        <v>104</v>
      </c>
      <c r="AF42" s="228" t="str">
        <f>IF(Einstellrichtwerte!AH57&lt;&gt;"",Einstellrichtwerte!AH57,"")</f>
        <v/>
      </c>
      <c r="AG42" s="168" t="s">
        <v>103</v>
      </c>
      <c r="AH42" s="227" t="str">
        <f>IF(Einstellrichtwerte!AJ57&lt;&gt;"",Einstellrichtwerte!AJ57,"")</f>
        <v/>
      </c>
      <c r="AI42" s="167" t="s">
        <v>104</v>
      </c>
      <c r="AJ42" s="229" t="str">
        <f>IF(Einstellrichtwerte!AL57&lt;&gt;"",Einstellrichtwerte!AL57,"")</f>
        <v/>
      </c>
      <c r="AK42" s="170" t="s">
        <v>102</v>
      </c>
      <c r="AL42" s="136"/>
      <c r="AN42" s="205"/>
      <c r="AO42" s="205"/>
      <c r="AP42" s="222"/>
      <c r="AQ42" s="222"/>
      <c r="AR42" s="222"/>
      <c r="AS42" s="222"/>
      <c r="AT42" s="222"/>
      <c r="AU42" s="205"/>
      <c r="AV42" s="205"/>
      <c r="AW42" s="205"/>
      <c r="AX42" s="205"/>
      <c r="AY42" s="205"/>
      <c r="AZ42" s="205"/>
      <c r="BA42" s="205"/>
      <c r="BB42" s="205"/>
      <c r="BC42" s="205"/>
      <c r="BD42" s="205"/>
      <c r="BE42" s="205"/>
      <c r="BF42" s="205"/>
      <c r="BG42" s="205"/>
      <c r="BH42" s="205"/>
      <c r="BI42" s="205"/>
      <c r="BJ42" s="205"/>
      <c r="BK42" s="205"/>
      <c r="BL42" s="205"/>
      <c r="BM42" s="205"/>
      <c r="BN42" s="205"/>
      <c r="BO42" s="205"/>
      <c r="BP42" s="205"/>
      <c r="BQ42" s="205"/>
      <c r="BR42" s="205"/>
      <c r="BS42" s="205"/>
    </row>
    <row r="43" spans="1:114" ht="20.25" customHeight="1" thickBot="1" x14ac:dyDescent="0.45">
      <c r="A43" s="162"/>
      <c r="B43" s="138"/>
      <c r="C43" s="171"/>
      <c r="D43" s="171"/>
      <c r="E43" s="171"/>
      <c r="F43" s="159"/>
      <c r="G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38"/>
      <c r="AF43" s="45"/>
      <c r="AG43" s="45"/>
      <c r="AH43" s="138"/>
      <c r="AI43" s="45"/>
      <c r="AJ43" s="45"/>
      <c r="AK43" s="138"/>
      <c r="AL43" s="139"/>
      <c r="AN43" s="205"/>
      <c r="AO43" s="222"/>
      <c r="AP43" s="205"/>
      <c r="AQ43" s="205"/>
      <c r="AR43" s="205"/>
      <c r="AS43" s="205"/>
      <c r="AT43" s="205"/>
      <c r="AU43" s="205"/>
      <c r="AV43" s="205"/>
      <c r="AW43" s="205"/>
      <c r="AX43" s="205"/>
      <c r="AY43" s="205"/>
      <c r="AZ43" s="205"/>
      <c r="BA43" s="205"/>
      <c r="BB43" s="205"/>
      <c r="BC43" s="205"/>
      <c r="BD43" s="205"/>
      <c r="BE43" s="205"/>
      <c r="BF43" s="205"/>
      <c r="BG43" s="205"/>
      <c r="BH43" s="205"/>
      <c r="BI43" s="205"/>
      <c r="BJ43" s="205"/>
      <c r="BK43" s="205"/>
      <c r="BL43" s="205"/>
      <c r="BM43" s="205"/>
      <c r="BN43" s="205"/>
      <c r="BO43" s="205"/>
      <c r="BP43" s="205"/>
      <c r="BQ43" s="205"/>
      <c r="BR43" s="205"/>
      <c r="BS43" s="205"/>
    </row>
    <row r="44" spans="1:114" ht="17.100000000000001" customHeight="1" x14ac:dyDescent="0.4">
      <c r="A44" s="186"/>
      <c r="B44" s="161"/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864" t="str">
        <f>IF(Sprache="English","moving plate",IF(Sprache="Deutsch","Auswerferseite",""))</f>
        <v>Auswerferseite</v>
      </c>
      <c r="R44" s="864"/>
      <c r="S44" s="864"/>
      <c r="T44" s="864"/>
      <c r="U44" s="864"/>
      <c r="V44" s="864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91"/>
      <c r="AN44" s="205"/>
      <c r="AO44" s="205"/>
      <c r="AP44" s="205"/>
      <c r="AQ44" s="205"/>
      <c r="AR44" s="205"/>
      <c r="AS44" s="205"/>
      <c r="AT44" s="205"/>
      <c r="AU44" s="222"/>
      <c r="AV44" s="222"/>
      <c r="AW44" s="222"/>
      <c r="AX44" s="222"/>
      <c r="AY44" s="205"/>
      <c r="AZ44" s="205"/>
      <c r="BA44" s="205"/>
      <c r="BB44" s="205"/>
      <c r="BC44" s="205"/>
      <c r="BD44" s="205"/>
      <c r="BE44" s="205"/>
      <c r="BF44" s="205"/>
      <c r="BG44" s="205"/>
      <c r="BH44" s="205"/>
      <c r="BI44" s="205"/>
      <c r="BJ44" s="205"/>
      <c r="BK44" s="205"/>
      <c r="BL44" s="205"/>
      <c r="BM44" s="205"/>
      <c r="BN44" s="205"/>
      <c r="BO44" s="205"/>
      <c r="BP44" s="205"/>
      <c r="BQ44" s="205"/>
      <c r="BR44" s="205"/>
      <c r="BS44" s="205"/>
    </row>
    <row r="45" spans="1:114" ht="17.100000000000001" customHeight="1" thickBot="1" x14ac:dyDescent="0.3">
      <c r="A45" s="157"/>
      <c r="B45" s="44"/>
      <c r="C45" s="44"/>
      <c r="D45" s="570" t="str">
        <f>IF(Sprache="English","description",IF(Sprache="Deutsch","Bezeichnung",""))</f>
        <v>Bezeichnung</v>
      </c>
      <c r="E45" s="570"/>
      <c r="F45" s="570"/>
      <c r="G45" s="570"/>
      <c r="H45" s="570"/>
      <c r="I45" s="570"/>
      <c r="J45" s="590" t="s">
        <v>125</v>
      </c>
      <c r="K45" s="590"/>
      <c r="L45" s="590"/>
      <c r="M45" s="590"/>
      <c r="N45" s="590"/>
      <c r="O45" s="590"/>
      <c r="P45" s="590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L45" s="136"/>
      <c r="AM45" s="157"/>
      <c r="AN45" s="205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5"/>
      <c r="AZ45" s="205"/>
      <c r="BA45" s="205"/>
      <c r="BB45" s="205"/>
      <c r="BC45" s="205"/>
      <c r="BD45" s="205"/>
      <c r="BE45" s="205"/>
      <c r="BF45" s="205"/>
      <c r="BG45" s="205"/>
      <c r="BH45" s="205"/>
      <c r="BI45" s="205"/>
      <c r="BJ45" s="205"/>
      <c r="BK45" s="205"/>
      <c r="BL45" s="205"/>
      <c r="BM45" s="205"/>
      <c r="BN45" s="205"/>
      <c r="BO45" s="205"/>
      <c r="BP45" s="205"/>
      <c r="BQ45" s="205"/>
      <c r="BR45" s="205"/>
      <c r="BS45" s="205"/>
    </row>
    <row r="46" spans="1:114" ht="17.100000000000001" customHeight="1" thickBot="1" x14ac:dyDescent="0.3">
      <c r="A46" s="306">
        <v>1</v>
      </c>
      <c r="B46" s="887" t="str">
        <f t="shared" ref="B46:B55" si="3">IF(Sprache="English","circle",IF(Sprache="Deutsch","Kreis",""))</f>
        <v>Kreis</v>
      </c>
      <c r="C46" s="888"/>
      <c r="D46" s="560" t="str">
        <f>""&amp;Einstellrichtwerte!F60</f>
        <v/>
      </c>
      <c r="E46" s="560"/>
      <c r="F46" s="560"/>
      <c r="G46" s="560"/>
      <c r="H46" s="560"/>
      <c r="I46" s="560"/>
      <c r="J46" s="580" t="str">
        <f>""&amp;Einstellrichtwerte!L60</f>
        <v/>
      </c>
      <c r="K46" s="581"/>
      <c r="L46" s="582"/>
      <c r="M46" s="166" t="s">
        <v>101</v>
      </c>
      <c r="N46" s="226" t="str">
        <f>IF(Einstellrichtwerte!P60&lt;&gt;"",Einstellrichtwerte!P60,"")</f>
        <v/>
      </c>
      <c r="O46" s="167" t="s">
        <v>104</v>
      </c>
      <c r="P46" s="228" t="str">
        <f>IF(Einstellrichtwerte!R60&lt;&gt;"",Einstellrichtwerte!R60,"")</f>
        <v/>
      </c>
      <c r="Q46" s="168" t="s">
        <v>103</v>
      </c>
      <c r="R46" s="227" t="str">
        <f>IF(Einstellrichtwerte!T60&lt;&gt;"",Einstellrichtwerte!T60,"")</f>
        <v/>
      </c>
      <c r="S46" s="167" t="s">
        <v>104</v>
      </c>
      <c r="T46" s="229" t="str">
        <f>IF(Einstellrichtwerte!V60&lt;&gt;"",Einstellrichtwerte!V60,"")</f>
        <v/>
      </c>
      <c r="U46" s="169" t="s">
        <v>103</v>
      </c>
      <c r="V46" s="226" t="str">
        <f>IF(Einstellrichtwerte!X60&lt;&gt;"",Einstellrichtwerte!X60,"")</f>
        <v/>
      </c>
      <c r="W46" s="167" t="s">
        <v>104</v>
      </c>
      <c r="X46" s="228" t="str">
        <f>IF(Einstellrichtwerte!Z60&lt;&gt;"",Einstellrichtwerte!Z60,"")</f>
        <v/>
      </c>
      <c r="Y46" s="168" t="s">
        <v>103</v>
      </c>
      <c r="Z46" s="227" t="str">
        <f>IF(Einstellrichtwerte!AB60&lt;&gt;"",Einstellrichtwerte!AB60,"")</f>
        <v/>
      </c>
      <c r="AA46" s="167" t="s">
        <v>104</v>
      </c>
      <c r="AB46" s="229" t="str">
        <f>IF(Einstellrichtwerte!AD60&lt;&gt;"",Einstellrichtwerte!AD60,"")</f>
        <v/>
      </c>
      <c r="AC46" s="169" t="s">
        <v>103</v>
      </c>
      <c r="AD46" s="226" t="str">
        <f>IF(Einstellrichtwerte!AF60&lt;&gt;"",Einstellrichtwerte!AF60,"")</f>
        <v/>
      </c>
      <c r="AE46" s="167" t="s">
        <v>104</v>
      </c>
      <c r="AF46" s="228" t="str">
        <f>IF(Einstellrichtwerte!AH60&lt;&gt;"",Einstellrichtwerte!AH60,"")</f>
        <v/>
      </c>
      <c r="AG46" s="168" t="s">
        <v>103</v>
      </c>
      <c r="AH46" s="227" t="str">
        <f>IF(Einstellrichtwerte!AJ60&lt;&gt;"",Einstellrichtwerte!AJ60,"")</f>
        <v/>
      </c>
      <c r="AI46" s="167" t="s">
        <v>104</v>
      </c>
      <c r="AJ46" s="229" t="str">
        <f>IF(Einstellrichtwerte!AL60&lt;&gt;"",Einstellrichtwerte!AL60,"")</f>
        <v/>
      </c>
      <c r="AK46" s="170" t="s">
        <v>102</v>
      </c>
      <c r="AL46" s="136"/>
      <c r="AN46" s="205"/>
      <c r="AO46" s="205"/>
      <c r="AP46" s="205"/>
      <c r="AU46" s="205"/>
      <c r="AV46" s="205"/>
      <c r="AW46" s="205"/>
      <c r="AX46" s="205"/>
      <c r="AY46" s="205"/>
      <c r="AZ46" s="205"/>
      <c r="BA46" s="205"/>
      <c r="BB46" s="205"/>
      <c r="BC46" s="205"/>
      <c r="BD46" s="205"/>
      <c r="BE46" s="205"/>
      <c r="BF46" s="205"/>
      <c r="BG46" s="205"/>
      <c r="BH46" s="205"/>
      <c r="BI46" s="205"/>
      <c r="BJ46" s="205"/>
      <c r="BK46" s="205"/>
      <c r="BL46" s="205"/>
      <c r="BM46" s="205"/>
      <c r="BN46" s="205"/>
      <c r="BO46" s="205"/>
      <c r="BP46" s="205"/>
      <c r="BQ46" s="205"/>
      <c r="BR46" s="205"/>
      <c r="BS46" s="205"/>
    </row>
    <row r="47" spans="1:114" ht="17.100000000000001" customHeight="1" thickBot="1" x14ac:dyDescent="0.3">
      <c r="A47" s="306">
        <v>2</v>
      </c>
      <c r="B47" s="887" t="str">
        <f t="shared" si="3"/>
        <v>Kreis</v>
      </c>
      <c r="C47" s="888"/>
      <c r="D47" s="560" t="str">
        <f>""&amp;Einstellrichtwerte!F61</f>
        <v/>
      </c>
      <c r="E47" s="560"/>
      <c r="F47" s="560"/>
      <c r="G47" s="560"/>
      <c r="H47" s="560"/>
      <c r="I47" s="560"/>
      <c r="J47" s="580" t="str">
        <f>""&amp;Einstellrichtwerte!L61</f>
        <v/>
      </c>
      <c r="K47" s="581"/>
      <c r="L47" s="582"/>
      <c r="M47" s="166" t="s">
        <v>101</v>
      </c>
      <c r="N47" s="226" t="str">
        <f>IF(Einstellrichtwerte!P61&lt;&gt;"",Einstellrichtwerte!P61,"")</f>
        <v/>
      </c>
      <c r="O47" s="167" t="s">
        <v>104</v>
      </c>
      <c r="P47" s="228" t="str">
        <f>IF(Einstellrichtwerte!R61&lt;&gt;"",Einstellrichtwerte!R61,"")</f>
        <v/>
      </c>
      <c r="Q47" s="168" t="s">
        <v>103</v>
      </c>
      <c r="R47" s="227" t="str">
        <f>IF(Einstellrichtwerte!T61&lt;&gt;"",Einstellrichtwerte!T61,"")</f>
        <v/>
      </c>
      <c r="S47" s="167" t="s">
        <v>104</v>
      </c>
      <c r="T47" s="229" t="str">
        <f>IF(Einstellrichtwerte!V61&lt;&gt;"",Einstellrichtwerte!V61,"")</f>
        <v/>
      </c>
      <c r="U47" s="169" t="s">
        <v>103</v>
      </c>
      <c r="V47" s="226" t="str">
        <f>IF(Einstellrichtwerte!X61&lt;&gt;"",Einstellrichtwerte!X61,"")</f>
        <v/>
      </c>
      <c r="W47" s="167" t="s">
        <v>104</v>
      </c>
      <c r="X47" s="228" t="str">
        <f>IF(Einstellrichtwerte!Z61&lt;&gt;"",Einstellrichtwerte!Z61,"")</f>
        <v/>
      </c>
      <c r="Y47" s="168" t="s">
        <v>103</v>
      </c>
      <c r="Z47" s="227" t="str">
        <f>IF(Einstellrichtwerte!AB61&lt;&gt;"",Einstellrichtwerte!AB61,"")</f>
        <v/>
      </c>
      <c r="AA47" s="167" t="s">
        <v>104</v>
      </c>
      <c r="AB47" s="229" t="str">
        <f>IF(Einstellrichtwerte!AD61&lt;&gt;"",Einstellrichtwerte!AD61,"")</f>
        <v/>
      </c>
      <c r="AC47" s="169" t="s">
        <v>103</v>
      </c>
      <c r="AD47" s="226" t="str">
        <f>IF(Einstellrichtwerte!AF61&lt;&gt;"",Einstellrichtwerte!AF61,"")</f>
        <v/>
      </c>
      <c r="AE47" s="167" t="s">
        <v>104</v>
      </c>
      <c r="AF47" s="228" t="str">
        <f>IF(Einstellrichtwerte!AH61&lt;&gt;"",Einstellrichtwerte!AH61,"")</f>
        <v/>
      </c>
      <c r="AG47" s="168" t="s">
        <v>103</v>
      </c>
      <c r="AH47" s="227" t="str">
        <f>IF(Einstellrichtwerte!AJ61&lt;&gt;"",Einstellrichtwerte!AJ61,"")</f>
        <v/>
      </c>
      <c r="AI47" s="167" t="s">
        <v>104</v>
      </c>
      <c r="AJ47" s="229" t="str">
        <f>IF(Einstellrichtwerte!AL61&lt;&gt;"",Einstellrichtwerte!AL61,"")</f>
        <v/>
      </c>
      <c r="AK47" s="170" t="s">
        <v>102</v>
      </c>
      <c r="AL47" s="136"/>
      <c r="AN47" s="205"/>
      <c r="AO47" s="205"/>
      <c r="AU47" s="205"/>
      <c r="AV47" s="205"/>
      <c r="AW47" s="205"/>
      <c r="AX47" s="205"/>
      <c r="AY47" s="205"/>
      <c r="AZ47" s="205"/>
      <c r="BA47" s="205"/>
      <c r="BB47" s="205"/>
      <c r="BC47" s="205"/>
      <c r="BD47" s="205"/>
      <c r="BE47" s="205"/>
      <c r="BF47" s="205"/>
      <c r="BG47" s="205"/>
      <c r="BH47" s="205"/>
      <c r="BI47" s="205"/>
      <c r="BJ47" s="205"/>
      <c r="BK47" s="205"/>
      <c r="BL47" s="205"/>
      <c r="BM47" s="205"/>
      <c r="BN47" s="205"/>
      <c r="BO47" s="205"/>
      <c r="BP47" s="205"/>
      <c r="BQ47" s="205"/>
      <c r="BR47" s="205"/>
      <c r="BS47" s="205"/>
    </row>
    <row r="48" spans="1:114" ht="17.100000000000001" customHeight="1" thickBot="1" x14ac:dyDescent="0.3">
      <c r="A48" s="306">
        <v>3</v>
      </c>
      <c r="B48" s="887" t="str">
        <f t="shared" si="3"/>
        <v>Kreis</v>
      </c>
      <c r="C48" s="888"/>
      <c r="D48" s="560" t="str">
        <f>""&amp;Einstellrichtwerte!F62</f>
        <v/>
      </c>
      <c r="E48" s="560"/>
      <c r="F48" s="560"/>
      <c r="G48" s="560"/>
      <c r="H48" s="560"/>
      <c r="I48" s="560"/>
      <c r="J48" s="580" t="str">
        <f>""&amp;Einstellrichtwerte!L62</f>
        <v/>
      </c>
      <c r="K48" s="581"/>
      <c r="L48" s="582"/>
      <c r="M48" s="166" t="s">
        <v>101</v>
      </c>
      <c r="N48" s="226" t="str">
        <f>IF(Einstellrichtwerte!P62&lt;&gt;"",Einstellrichtwerte!P62,"")</f>
        <v/>
      </c>
      <c r="O48" s="167" t="s">
        <v>104</v>
      </c>
      <c r="P48" s="228" t="str">
        <f>IF(Einstellrichtwerte!R62&lt;&gt;"",Einstellrichtwerte!R62,"")</f>
        <v/>
      </c>
      <c r="Q48" s="168" t="s">
        <v>103</v>
      </c>
      <c r="R48" s="227" t="str">
        <f>IF(Einstellrichtwerte!T62&lt;&gt;"",Einstellrichtwerte!T62,"")</f>
        <v/>
      </c>
      <c r="S48" s="167" t="s">
        <v>104</v>
      </c>
      <c r="T48" s="229" t="str">
        <f>IF(Einstellrichtwerte!V62&lt;&gt;"",Einstellrichtwerte!V62,"")</f>
        <v/>
      </c>
      <c r="U48" s="169" t="s">
        <v>103</v>
      </c>
      <c r="V48" s="226" t="str">
        <f>IF(Einstellrichtwerte!X62&lt;&gt;"",Einstellrichtwerte!X62,"")</f>
        <v/>
      </c>
      <c r="W48" s="167" t="s">
        <v>104</v>
      </c>
      <c r="X48" s="228" t="str">
        <f>IF(Einstellrichtwerte!Z62&lt;&gt;"",Einstellrichtwerte!Z62,"")</f>
        <v/>
      </c>
      <c r="Y48" s="168" t="s">
        <v>103</v>
      </c>
      <c r="Z48" s="227" t="str">
        <f>IF(Einstellrichtwerte!AB62&lt;&gt;"",Einstellrichtwerte!AB62,"")</f>
        <v/>
      </c>
      <c r="AA48" s="167" t="s">
        <v>104</v>
      </c>
      <c r="AB48" s="229" t="str">
        <f>IF(Einstellrichtwerte!AD62&lt;&gt;"",Einstellrichtwerte!AD62,"")</f>
        <v/>
      </c>
      <c r="AC48" s="169" t="s">
        <v>103</v>
      </c>
      <c r="AD48" s="226" t="str">
        <f>IF(Einstellrichtwerte!AF62&lt;&gt;"",Einstellrichtwerte!AF62,"")</f>
        <v/>
      </c>
      <c r="AE48" s="167" t="s">
        <v>104</v>
      </c>
      <c r="AF48" s="228" t="str">
        <f>IF(Einstellrichtwerte!AH62&lt;&gt;"",Einstellrichtwerte!AH62,"")</f>
        <v/>
      </c>
      <c r="AG48" s="168" t="s">
        <v>103</v>
      </c>
      <c r="AH48" s="227" t="str">
        <f>IF(Einstellrichtwerte!AJ62&lt;&gt;"",Einstellrichtwerte!AJ62,"")</f>
        <v/>
      </c>
      <c r="AI48" s="167" t="s">
        <v>104</v>
      </c>
      <c r="AJ48" s="229" t="str">
        <f>IF(Einstellrichtwerte!AL62&lt;&gt;"",Einstellrichtwerte!AL62,"")</f>
        <v/>
      </c>
      <c r="AK48" s="170" t="s">
        <v>102</v>
      </c>
      <c r="AL48" s="136"/>
      <c r="AN48" s="205"/>
      <c r="BA48" s="205"/>
      <c r="BB48" s="205"/>
      <c r="BC48" s="205"/>
      <c r="BD48" s="205"/>
      <c r="BE48" s="205"/>
      <c r="BF48" s="205"/>
      <c r="BG48" s="205"/>
      <c r="BH48" s="205"/>
      <c r="BI48" s="205"/>
      <c r="BJ48" s="205"/>
      <c r="BK48" s="205"/>
      <c r="BL48" s="205"/>
      <c r="BM48" s="205"/>
      <c r="BN48" s="205"/>
      <c r="BO48" s="205"/>
      <c r="BP48" s="205"/>
      <c r="BQ48" s="205"/>
      <c r="BR48" s="205"/>
      <c r="BS48" s="205"/>
    </row>
    <row r="49" spans="1:40" ht="17.100000000000001" customHeight="1" thickBot="1" x14ac:dyDescent="0.3">
      <c r="A49" s="306">
        <v>4</v>
      </c>
      <c r="B49" s="887" t="str">
        <f t="shared" si="3"/>
        <v>Kreis</v>
      </c>
      <c r="C49" s="888"/>
      <c r="D49" s="560" t="str">
        <f>""&amp;Einstellrichtwerte!F63</f>
        <v/>
      </c>
      <c r="E49" s="560"/>
      <c r="F49" s="560"/>
      <c r="G49" s="560"/>
      <c r="H49" s="560"/>
      <c r="I49" s="560"/>
      <c r="J49" s="580" t="str">
        <f>""&amp;Einstellrichtwerte!L63</f>
        <v/>
      </c>
      <c r="K49" s="581"/>
      <c r="L49" s="582"/>
      <c r="M49" s="166" t="s">
        <v>101</v>
      </c>
      <c r="N49" s="226" t="str">
        <f>IF(Einstellrichtwerte!P63&lt;&gt;"",Einstellrichtwerte!P63,"")</f>
        <v/>
      </c>
      <c r="O49" s="167" t="s">
        <v>104</v>
      </c>
      <c r="P49" s="228" t="str">
        <f>IF(Einstellrichtwerte!R63&lt;&gt;"",Einstellrichtwerte!R63,"")</f>
        <v/>
      </c>
      <c r="Q49" s="168" t="s">
        <v>103</v>
      </c>
      <c r="R49" s="227" t="str">
        <f>IF(Einstellrichtwerte!T63&lt;&gt;"",Einstellrichtwerte!T63,"")</f>
        <v/>
      </c>
      <c r="S49" s="167" t="s">
        <v>104</v>
      </c>
      <c r="T49" s="229" t="str">
        <f>IF(Einstellrichtwerte!V63&lt;&gt;"",Einstellrichtwerte!V63,"")</f>
        <v/>
      </c>
      <c r="U49" s="169" t="s">
        <v>103</v>
      </c>
      <c r="V49" s="226" t="str">
        <f>IF(Einstellrichtwerte!X63&lt;&gt;"",Einstellrichtwerte!X63,"")</f>
        <v/>
      </c>
      <c r="W49" s="167" t="s">
        <v>104</v>
      </c>
      <c r="X49" s="228" t="str">
        <f>IF(Einstellrichtwerte!Z63&lt;&gt;"",Einstellrichtwerte!Z63,"")</f>
        <v/>
      </c>
      <c r="Y49" s="168" t="s">
        <v>103</v>
      </c>
      <c r="Z49" s="227" t="str">
        <f>IF(Einstellrichtwerte!AB63&lt;&gt;"",Einstellrichtwerte!AB63,"")</f>
        <v/>
      </c>
      <c r="AA49" s="167" t="s">
        <v>104</v>
      </c>
      <c r="AB49" s="229" t="str">
        <f>IF(Einstellrichtwerte!AD63&lt;&gt;"",Einstellrichtwerte!AD63,"")</f>
        <v/>
      </c>
      <c r="AC49" s="169" t="s">
        <v>103</v>
      </c>
      <c r="AD49" s="226" t="str">
        <f>IF(Einstellrichtwerte!AF63&lt;&gt;"",Einstellrichtwerte!AF63,"")</f>
        <v/>
      </c>
      <c r="AE49" s="167" t="s">
        <v>104</v>
      </c>
      <c r="AF49" s="228" t="str">
        <f>IF(Einstellrichtwerte!AH63&lt;&gt;"",Einstellrichtwerte!AH63,"")</f>
        <v/>
      </c>
      <c r="AG49" s="168" t="s">
        <v>103</v>
      </c>
      <c r="AH49" s="227" t="str">
        <f>IF(Einstellrichtwerte!AJ63&lt;&gt;"",Einstellrichtwerte!AJ63,"")</f>
        <v/>
      </c>
      <c r="AI49" s="167" t="s">
        <v>104</v>
      </c>
      <c r="AJ49" s="229" t="str">
        <f>IF(Einstellrichtwerte!AL63&lt;&gt;"",Einstellrichtwerte!AL63,"")</f>
        <v/>
      </c>
      <c r="AK49" s="170" t="s">
        <v>102</v>
      </c>
      <c r="AL49" s="136"/>
      <c r="AN49" s="205"/>
    </row>
    <row r="50" spans="1:40" ht="17.100000000000001" customHeight="1" thickBot="1" x14ac:dyDescent="0.3">
      <c r="A50" s="306">
        <v>5</v>
      </c>
      <c r="B50" s="887" t="str">
        <f t="shared" si="3"/>
        <v>Kreis</v>
      </c>
      <c r="C50" s="888"/>
      <c r="D50" s="560" t="str">
        <f>""&amp;Einstellrichtwerte!F64</f>
        <v/>
      </c>
      <c r="E50" s="560"/>
      <c r="F50" s="560"/>
      <c r="G50" s="560"/>
      <c r="H50" s="560"/>
      <c r="I50" s="560"/>
      <c r="J50" s="580" t="str">
        <f>""&amp;Einstellrichtwerte!L64</f>
        <v/>
      </c>
      <c r="K50" s="581"/>
      <c r="L50" s="582"/>
      <c r="M50" s="166" t="s">
        <v>101</v>
      </c>
      <c r="N50" s="226" t="str">
        <f>IF(Einstellrichtwerte!P64&lt;&gt;"",Einstellrichtwerte!P64,"")</f>
        <v/>
      </c>
      <c r="O50" s="167" t="s">
        <v>104</v>
      </c>
      <c r="P50" s="228" t="str">
        <f>IF(Einstellrichtwerte!R64&lt;&gt;"",Einstellrichtwerte!R64,"")</f>
        <v/>
      </c>
      <c r="Q50" s="168" t="s">
        <v>103</v>
      </c>
      <c r="R50" s="227" t="str">
        <f>IF(Einstellrichtwerte!T64&lt;&gt;"",Einstellrichtwerte!T64,"")</f>
        <v/>
      </c>
      <c r="S50" s="167" t="s">
        <v>104</v>
      </c>
      <c r="T50" s="229" t="str">
        <f>IF(Einstellrichtwerte!V64&lt;&gt;"",Einstellrichtwerte!V64,"")</f>
        <v/>
      </c>
      <c r="U50" s="169" t="s">
        <v>103</v>
      </c>
      <c r="V50" s="226" t="str">
        <f>IF(Einstellrichtwerte!X64&lt;&gt;"",Einstellrichtwerte!X64,"")</f>
        <v/>
      </c>
      <c r="W50" s="167" t="s">
        <v>104</v>
      </c>
      <c r="X50" s="228" t="str">
        <f>IF(Einstellrichtwerte!Z64&lt;&gt;"",Einstellrichtwerte!Z64,"")</f>
        <v/>
      </c>
      <c r="Y50" s="168" t="s">
        <v>103</v>
      </c>
      <c r="Z50" s="227" t="str">
        <f>IF(Einstellrichtwerte!AB64&lt;&gt;"",Einstellrichtwerte!AB64,"")</f>
        <v/>
      </c>
      <c r="AA50" s="167" t="s">
        <v>104</v>
      </c>
      <c r="AB50" s="229" t="str">
        <f>IF(Einstellrichtwerte!AD64&lt;&gt;"",Einstellrichtwerte!AD64,"")</f>
        <v/>
      </c>
      <c r="AC50" s="169" t="s">
        <v>103</v>
      </c>
      <c r="AD50" s="226" t="str">
        <f>IF(Einstellrichtwerte!AF64&lt;&gt;"",Einstellrichtwerte!AF64,"")</f>
        <v/>
      </c>
      <c r="AE50" s="167" t="s">
        <v>104</v>
      </c>
      <c r="AF50" s="228" t="str">
        <f>IF(Einstellrichtwerte!AH64&lt;&gt;"",Einstellrichtwerte!AH64,"")</f>
        <v/>
      </c>
      <c r="AG50" s="168" t="s">
        <v>103</v>
      </c>
      <c r="AH50" s="227" t="str">
        <f>IF(Einstellrichtwerte!AJ64&lt;&gt;"",Einstellrichtwerte!AJ64,"")</f>
        <v/>
      </c>
      <c r="AI50" s="167" t="s">
        <v>104</v>
      </c>
      <c r="AJ50" s="229" t="str">
        <f>IF(Einstellrichtwerte!AL64&lt;&gt;"",Einstellrichtwerte!AL64,"")</f>
        <v/>
      </c>
      <c r="AK50" s="170" t="s">
        <v>102</v>
      </c>
      <c r="AL50" s="136"/>
    </row>
    <row r="51" spans="1:40" ht="17.100000000000001" customHeight="1" thickBot="1" x14ac:dyDescent="0.3">
      <c r="A51" s="306">
        <v>6</v>
      </c>
      <c r="B51" s="887" t="str">
        <f t="shared" si="3"/>
        <v>Kreis</v>
      </c>
      <c r="C51" s="888"/>
      <c r="D51" s="560" t="str">
        <f>""&amp;Einstellrichtwerte!F65</f>
        <v/>
      </c>
      <c r="E51" s="560"/>
      <c r="F51" s="560"/>
      <c r="G51" s="560"/>
      <c r="H51" s="560"/>
      <c r="I51" s="560"/>
      <c r="J51" s="580" t="str">
        <f>""&amp;Einstellrichtwerte!L65</f>
        <v/>
      </c>
      <c r="K51" s="581"/>
      <c r="L51" s="582"/>
      <c r="M51" s="166" t="s">
        <v>101</v>
      </c>
      <c r="N51" s="226" t="str">
        <f>IF(Einstellrichtwerte!P65&lt;&gt;"",Einstellrichtwerte!P65,"")</f>
        <v/>
      </c>
      <c r="O51" s="167" t="s">
        <v>104</v>
      </c>
      <c r="P51" s="228" t="str">
        <f>IF(Einstellrichtwerte!R65&lt;&gt;"",Einstellrichtwerte!R65,"")</f>
        <v/>
      </c>
      <c r="Q51" s="168" t="s">
        <v>103</v>
      </c>
      <c r="R51" s="227" t="str">
        <f>IF(Einstellrichtwerte!T65&lt;&gt;"",Einstellrichtwerte!T65,"")</f>
        <v/>
      </c>
      <c r="S51" s="167" t="s">
        <v>104</v>
      </c>
      <c r="T51" s="229" t="str">
        <f>IF(Einstellrichtwerte!V65&lt;&gt;"",Einstellrichtwerte!V65,"")</f>
        <v/>
      </c>
      <c r="U51" s="169" t="s">
        <v>103</v>
      </c>
      <c r="V51" s="226" t="str">
        <f>IF(Einstellrichtwerte!X65&lt;&gt;"",Einstellrichtwerte!X65,"")</f>
        <v/>
      </c>
      <c r="W51" s="167" t="s">
        <v>104</v>
      </c>
      <c r="X51" s="228" t="str">
        <f>IF(Einstellrichtwerte!Z65&lt;&gt;"",Einstellrichtwerte!Z65,"")</f>
        <v/>
      </c>
      <c r="Y51" s="168" t="s">
        <v>103</v>
      </c>
      <c r="Z51" s="227" t="str">
        <f>IF(Einstellrichtwerte!AB65&lt;&gt;"",Einstellrichtwerte!AB65,"")</f>
        <v/>
      </c>
      <c r="AA51" s="167" t="s">
        <v>104</v>
      </c>
      <c r="AB51" s="229" t="str">
        <f>IF(Einstellrichtwerte!AD65&lt;&gt;"",Einstellrichtwerte!AD65,"")</f>
        <v/>
      </c>
      <c r="AC51" s="169" t="s">
        <v>103</v>
      </c>
      <c r="AD51" s="226" t="str">
        <f>IF(Einstellrichtwerte!AF65&lt;&gt;"",Einstellrichtwerte!AF65,"")</f>
        <v/>
      </c>
      <c r="AE51" s="167" t="s">
        <v>104</v>
      </c>
      <c r="AF51" s="228" t="str">
        <f>IF(Einstellrichtwerte!AH65&lt;&gt;"",Einstellrichtwerte!AH65,"")</f>
        <v/>
      </c>
      <c r="AG51" s="168" t="s">
        <v>103</v>
      </c>
      <c r="AH51" s="227" t="str">
        <f>IF(Einstellrichtwerte!AJ65&lt;&gt;"",Einstellrichtwerte!AJ65,"")</f>
        <v/>
      </c>
      <c r="AI51" s="167" t="s">
        <v>104</v>
      </c>
      <c r="AJ51" s="229" t="str">
        <f>IF(Einstellrichtwerte!AL65&lt;&gt;"",Einstellrichtwerte!AL65,"")</f>
        <v/>
      </c>
      <c r="AK51" s="170" t="s">
        <v>102</v>
      </c>
      <c r="AL51" s="136"/>
    </row>
    <row r="52" spans="1:40" ht="17.100000000000001" customHeight="1" thickBot="1" x14ac:dyDescent="0.3">
      <c r="A52" s="306">
        <v>7</v>
      </c>
      <c r="B52" s="887" t="str">
        <f t="shared" si="3"/>
        <v>Kreis</v>
      </c>
      <c r="C52" s="888"/>
      <c r="D52" s="560" t="str">
        <f>""&amp;Einstellrichtwerte!F66</f>
        <v/>
      </c>
      <c r="E52" s="560"/>
      <c r="F52" s="560"/>
      <c r="G52" s="560"/>
      <c r="H52" s="560"/>
      <c r="I52" s="560"/>
      <c r="J52" s="580" t="str">
        <f>""&amp;Einstellrichtwerte!L66</f>
        <v/>
      </c>
      <c r="K52" s="581"/>
      <c r="L52" s="582"/>
      <c r="M52" s="166" t="s">
        <v>101</v>
      </c>
      <c r="N52" s="226" t="str">
        <f>IF(Einstellrichtwerte!P66&lt;&gt;"",Einstellrichtwerte!P66,"")</f>
        <v/>
      </c>
      <c r="O52" s="167" t="s">
        <v>104</v>
      </c>
      <c r="P52" s="228" t="str">
        <f>IF(Einstellrichtwerte!R66&lt;&gt;"",Einstellrichtwerte!R66,"")</f>
        <v/>
      </c>
      <c r="Q52" s="168" t="s">
        <v>103</v>
      </c>
      <c r="R52" s="227" t="str">
        <f>IF(Einstellrichtwerte!T66&lt;&gt;"",Einstellrichtwerte!T66,"")</f>
        <v/>
      </c>
      <c r="S52" s="167" t="s">
        <v>104</v>
      </c>
      <c r="T52" s="229" t="str">
        <f>IF(Einstellrichtwerte!V66&lt;&gt;"",Einstellrichtwerte!V66,"")</f>
        <v/>
      </c>
      <c r="U52" s="169" t="s">
        <v>103</v>
      </c>
      <c r="V52" s="226" t="str">
        <f>IF(Einstellrichtwerte!X66&lt;&gt;"",Einstellrichtwerte!X66,"")</f>
        <v/>
      </c>
      <c r="W52" s="167" t="s">
        <v>104</v>
      </c>
      <c r="X52" s="228" t="str">
        <f>IF(Einstellrichtwerte!Z66&lt;&gt;"",Einstellrichtwerte!Z66,"")</f>
        <v/>
      </c>
      <c r="Y52" s="168" t="s">
        <v>103</v>
      </c>
      <c r="Z52" s="227" t="str">
        <f>IF(Einstellrichtwerte!AB66&lt;&gt;"",Einstellrichtwerte!AB66,"")</f>
        <v/>
      </c>
      <c r="AA52" s="167" t="s">
        <v>104</v>
      </c>
      <c r="AB52" s="229" t="str">
        <f>IF(Einstellrichtwerte!AD66&lt;&gt;"",Einstellrichtwerte!AD66,"")</f>
        <v/>
      </c>
      <c r="AC52" s="169" t="s">
        <v>103</v>
      </c>
      <c r="AD52" s="226" t="str">
        <f>IF(Einstellrichtwerte!AF66&lt;&gt;"",Einstellrichtwerte!AF66,"")</f>
        <v/>
      </c>
      <c r="AE52" s="167" t="s">
        <v>104</v>
      </c>
      <c r="AF52" s="228" t="str">
        <f>IF(Einstellrichtwerte!AH66&lt;&gt;"",Einstellrichtwerte!AH66,"")</f>
        <v/>
      </c>
      <c r="AG52" s="168" t="s">
        <v>103</v>
      </c>
      <c r="AH52" s="227" t="str">
        <f>IF(Einstellrichtwerte!AJ66&lt;&gt;"",Einstellrichtwerte!AJ66,"")</f>
        <v/>
      </c>
      <c r="AI52" s="167" t="s">
        <v>104</v>
      </c>
      <c r="AJ52" s="229" t="str">
        <f>IF(Einstellrichtwerte!AL66&lt;&gt;"",Einstellrichtwerte!AL66,"")</f>
        <v/>
      </c>
      <c r="AK52" s="170" t="s">
        <v>102</v>
      </c>
      <c r="AL52" s="136"/>
    </row>
    <row r="53" spans="1:40" ht="17.100000000000001" customHeight="1" thickBot="1" x14ac:dyDescent="0.3">
      <c r="A53" s="306">
        <v>8</v>
      </c>
      <c r="B53" s="887" t="str">
        <f t="shared" si="3"/>
        <v>Kreis</v>
      </c>
      <c r="C53" s="888"/>
      <c r="D53" s="560" t="str">
        <f>""&amp;Einstellrichtwerte!F67</f>
        <v/>
      </c>
      <c r="E53" s="560"/>
      <c r="F53" s="560"/>
      <c r="G53" s="560"/>
      <c r="H53" s="560"/>
      <c r="I53" s="560"/>
      <c r="J53" s="580" t="str">
        <f>""&amp;Einstellrichtwerte!L67</f>
        <v/>
      </c>
      <c r="K53" s="581"/>
      <c r="L53" s="582"/>
      <c r="M53" s="166" t="s">
        <v>101</v>
      </c>
      <c r="N53" s="226" t="str">
        <f>IF(Einstellrichtwerte!P67&lt;&gt;"",Einstellrichtwerte!P67,"")</f>
        <v/>
      </c>
      <c r="O53" s="167" t="s">
        <v>104</v>
      </c>
      <c r="P53" s="228" t="str">
        <f>IF(Einstellrichtwerte!R67&lt;&gt;"",Einstellrichtwerte!R67,"")</f>
        <v/>
      </c>
      <c r="Q53" s="168" t="s">
        <v>103</v>
      </c>
      <c r="R53" s="227" t="str">
        <f>IF(Einstellrichtwerte!T67&lt;&gt;"",Einstellrichtwerte!T67,"")</f>
        <v/>
      </c>
      <c r="S53" s="167" t="s">
        <v>104</v>
      </c>
      <c r="T53" s="229" t="str">
        <f>IF(Einstellrichtwerte!V67&lt;&gt;"",Einstellrichtwerte!V67,"")</f>
        <v/>
      </c>
      <c r="U53" s="169" t="s">
        <v>103</v>
      </c>
      <c r="V53" s="226" t="str">
        <f>IF(Einstellrichtwerte!X67&lt;&gt;"",Einstellrichtwerte!X67,"")</f>
        <v/>
      </c>
      <c r="W53" s="167" t="s">
        <v>104</v>
      </c>
      <c r="X53" s="228" t="str">
        <f>IF(Einstellrichtwerte!Z67&lt;&gt;"",Einstellrichtwerte!Z67,"")</f>
        <v/>
      </c>
      <c r="Y53" s="168" t="s">
        <v>103</v>
      </c>
      <c r="Z53" s="227" t="str">
        <f>IF(Einstellrichtwerte!AB67&lt;&gt;"",Einstellrichtwerte!AB67,"")</f>
        <v/>
      </c>
      <c r="AA53" s="167" t="s">
        <v>104</v>
      </c>
      <c r="AB53" s="229" t="str">
        <f>IF(Einstellrichtwerte!AD67&lt;&gt;"",Einstellrichtwerte!AD67,"")</f>
        <v/>
      </c>
      <c r="AC53" s="169" t="s">
        <v>103</v>
      </c>
      <c r="AD53" s="226" t="str">
        <f>IF(Einstellrichtwerte!AF67&lt;&gt;"",Einstellrichtwerte!AF67,"")</f>
        <v/>
      </c>
      <c r="AE53" s="167" t="s">
        <v>104</v>
      </c>
      <c r="AF53" s="228" t="str">
        <f>IF(Einstellrichtwerte!AH67&lt;&gt;"",Einstellrichtwerte!AH67,"")</f>
        <v/>
      </c>
      <c r="AG53" s="168" t="s">
        <v>103</v>
      </c>
      <c r="AH53" s="227" t="str">
        <f>IF(Einstellrichtwerte!AJ67&lt;&gt;"",Einstellrichtwerte!AJ67,"")</f>
        <v/>
      </c>
      <c r="AI53" s="167" t="s">
        <v>104</v>
      </c>
      <c r="AJ53" s="229" t="str">
        <f>IF(Einstellrichtwerte!AL67&lt;&gt;"",Einstellrichtwerte!AL67,"")</f>
        <v/>
      </c>
      <c r="AK53" s="170" t="s">
        <v>102</v>
      </c>
      <c r="AL53" s="136"/>
    </row>
    <row r="54" spans="1:40" ht="17.100000000000001" customHeight="1" thickBot="1" x14ac:dyDescent="0.3">
      <c r="A54" s="306">
        <v>9</v>
      </c>
      <c r="B54" s="887" t="str">
        <f t="shared" si="3"/>
        <v>Kreis</v>
      </c>
      <c r="C54" s="888"/>
      <c r="D54" s="560" t="str">
        <f>""&amp;Einstellrichtwerte!F68</f>
        <v/>
      </c>
      <c r="E54" s="560"/>
      <c r="F54" s="560"/>
      <c r="G54" s="560"/>
      <c r="H54" s="560"/>
      <c r="I54" s="560"/>
      <c r="J54" s="580" t="str">
        <f>""&amp;Einstellrichtwerte!L68</f>
        <v/>
      </c>
      <c r="K54" s="581"/>
      <c r="L54" s="582"/>
      <c r="M54" s="166" t="s">
        <v>101</v>
      </c>
      <c r="N54" s="226" t="str">
        <f>IF(Einstellrichtwerte!P68&lt;&gt;"",Einstellrichtwerte!P68,"")</f>
        <v/>
      </c>
      <c r="O54" s="167" t="s">
        <v>104</v>
      </c>
      <c r="P54" s="228" t="str">
        <f>IF(Einstellrichtwerte!R68&lt;&gt;"",Einstellrichtwerte!R68,"")</f>
        <v/>
      </c>
      <c r="Q54" s="168" t="s">
        <v>103</v>
      </c>
      <c r="R54" s="227" t="str">
        <f>IF(Einstellrichtwerte!T68&lt;&gt;"",Einstellrichtwerte!T68,"")</f>
        <v/>
      </c>
      <c r="S54" s="167" t="s">
        <v>104</v>
      </c>
      <c r="T54" s="229" t="str">
        <f>IF(Einstellrichtwerte!V68&lt;&gt;"",Einstellrichtwerte!V68,"")</f>
        <v/>
      </c>
      <c r="U54" s="169" t="s">
        <v>103</v>
      </c>
      <c r="V54" s="226" t="str">
        <f>IF(Einstellrichtwerte!X68&lt;&gt;"",Einstellrichtwerte!X68,"")</f>
        <v/>
      </c>
      <c r="W54" s="167" t="s">
        <v>104</v>
      </c>
      <c r="X54" s="228" t="str">
        <f>IF(Einstellrichtwerte!Z68&lt;&gt;"",Einstellrichtwerte!Z68,"")</f>
        <v/>
      </c>
      <c r="Y54" s="168" t="s">
        <v>103</v>
      </c>
      <c r="Z54" s="227" t="str">
        <f>IF(Einstellrichtwerte!AB68&lt;&gt;"",Einstellrichtwerte!AB68,"")</f>
        <v/>
      </c>
      <c r="AA54" s="167" t="s">
        <v>104</v>
      </c>
      <c r="AB54" s="229" t="str">
        <f>IF(Einstellrichtwerte!AD68&lt;&gt;"",Einstellrichtwerte!AD68,"")</f>
        <v/>
      </c>
      <c r="AC54" s="169" t="s">
        <v>103</v>
      </c>
      <c r="AD54" s="226" t="str">
        <f>IF(Einstellrichtwerte!AF68&lt;&gt;"",Einstellrichtwerte!AF68,"")</f>
        <v/>
      </c>
      <c r="AE54" s="167" t="s">
        <v>104</v>
      </c>
      <c r="AF54" s="228" t="str">
        <f>IF(Einstellrichtwerte!AH68&lt;&gt;"",Einstellrichtwerte!AH68,"")</f>
        <v/>
      </c>
      <c r="AG54" s="168" t="s">
        <v>103</v>
      </c>
      <c r="AH54" s="227" t="str">
        <f>IF(Einstellrichtwerte!AJ68&lt;&gt;"",Einstellrichtwerte!AJ68,"")</f>
        <v/>
      </c>
      <c r="AI54" s="167" t="s">
        <v>104</v>
      </c>
      <c r="AJ54" s="229" t="str">
        <f>IF(Einstellrichtwerte!AL68&lt;&gt;"",Einstellrichtwerte!AL68,"")</f>
        <v/>
      </c>
      <c r="AK54" s="170" t="s">
        <v>102</v>
      </c>
      <c r="AL54" s="136"/>
    </row>
    <row r="55" spans="1:40" ht="17.100000000000001" customHeight="1" thickBot="1" x14ac:dyDescent="0.3">
      <c r="A55" s="306">
        <v>10</v>
      </c>
      <c r="B55" s="887" t="str">
        <f t="shared" si="3"/>
        <v>Kreis</v>
      </c>
      <c r="C55" s="888"/>
      <c r="D55" s="560" t="str">
        <f>""&amp;Einstellrichtwerte!F69</f>
        <v/>
      </c>
      <c r="E55" s="560"/>
      <c r="F55" s="560"/>
      <c r="G55" s="560"/>
      <c r="H55" s="560"/>
      <c r="I55" s="560"/>
      <c r="J55" s="580" t="str">
        <f>""&amp;Einstellrichtwerte!L69</f>
        <v/>
      </c>
      <c r="K55" s="581"/>
      <c r="L55" s="582"/>
      <c r="M55" s="166" t="s">
        <v>101</v>
      </c>
      <c r="N55" s="226" t="str">
        <f>IF(Einstellrichtwerte!P69&lt;&gt;"",Einstellrichtwerte!P69,"")</f>
        <v/>
      </c>
      <c r="O55" s="167" t="s">
        <v>104</v>
      </c>
      <c r="P55" s="228" t="str">
        <f>IF(Einstellrichtwerte!R69&lt;&gt;"",Einstellrichtwerte!R69,"")</f>
        <v/>
      </c>
      <c r="Q55" s="168" t="s">
        <v>103</v>
      </c>
      <c r="R55" s="227" t="str">
        <f>IF(Einstellrichtwerte!T69&lt;&gt;"",Einstellrichtwerte!T69,"")</f>
        <v/>
      </c>
      <c r="S55" s="167" t="s">
        <v>104</v>
      </c>
      <c r="T55" s="229" t="str">
        <f>IF(Einstellrichtwerte!V69&lt;&gt;"",Einstellrichtwerte!V69,"")</f>
        <v/>
      </c>
      <c r="U55" s="169" t="s">
        <v>103</v>
      </c>
      <c r="V55" s="226" t="str">
        <f>IF(Einstellrichtwerte!X69&lt;&gt;"",Einstellrichtwerte!X69,"")</f>
        <v/>
      </c>
      <c r="W55" s="167" t="s">
        <v>104</v>
      </c>
      <c r="X55" s="228" t="str">
        <f>IF(Einstellrichtwerte!Z69&lt;&gt;"",Einstellrichtwerte!Z69,"")</f>
        <v/>
      </c>
      <c r="Y55" s="168" t="s">
        <v>103</v>
      </c>
      <c r="Z55" s="227" t="str">
        <f>IF(Einstellrichtwerte!AB69&lt;&gt;"",Einstellrichtwerte!AB69,"")</f>
        <v/>
      </c>
      <c r="AA55" s="167" t="s">
        <v>104</v>
      </c>
      <c r="AB55" s="229" t="str">
        <f>IF(Einstellrichtwerte!AD69&lt;&gt;"",Einstellrichtwerte!AD69,"")</f>
        <v/>
      </c>
      <c r="AC55" s="169" t="s">
        <v>103</v>
      </c>
      <c r="AD55" s="226" t="str">
        <f>IF(Einstellrichtwerte!AF69&lt;&gt;"",Einstellrichtwerte!AF69,"")</f>
        <v/>
      </c>
      <c r="AE55" s="167" t="s">
        <v>104</v>
      </c>
      <c r="AF55" s="228" t="str">
        <f>IF(Einstellrichtwerte!AH69&lt;&gt;"",Einstellrichtwerte!AH69,"")</f>
        <v/>
      </c>
      <c r="AG55" s="168" t="s">
        <v>103</v>
      </c>
      <c r="AH55" s="227" t="str">
        <f>IF(Einstellrichtwerte!AJ69&lt;&gt;"",Einstellrichtwerte!AJ69,"")</f>
        <v/>
      </c>
      <c r="AI55" s="167" t="s">
        <v>104</v>
      </c>
      <c r="AJ55" s="229" t="str">
        <f>IF(Einstellrichtwerte!AL69&lt;&gt;"",Einstellrichtwerte!AL69,"")</f>
        <v/>
      </c>
      <c r="AK55" s="170" t="s">
        <v>102</v>
      </c>
      <c r="AL55" s="136"/>
    </row>
    <row r="56" spans="1:40" ht="17.100000000000001" customHeight="1" thickBot="1" x14ac:dyDescent="0.3">
      <c r="A56" s="137"/>
      <c r="B56" s="138"/>
      <c r="C56" s="171"/>
      <c r="D56" s="171"/>
      <c r="E56" s="171"/>
      <c r="F56" s="159"/>
      <c r="G56" s="159"/>
      <c r="H56" s="172"/>
      <c r="I56" s="172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38"/>
      <c r="AF56" s="45"/>
      <c r="AG56" s="45"/>
      <c r="AH56" s="138"/>
      <c r="AI56" s="45"/>
      <c r="AJ56" s="45"/>
      <c r="AK56" s="138"/>
      <c r="AL56" s="139"/>
    </row>
    <row r="57" spans="1:40" ht="17.100000000000001" customHeight="1" thickBot="1" x14ac:dyDescent="0.3">
      <c r="A57" s="163"/>
      <c r="B57" s="787" t="str">
        <f>IF(Sprache="English","remarks",IF(Sprache="Deutsch","Bemerkungen",""))</f>
        <v>Bemerkungen</v>
      </c>
      <c r="C57" s="787"/>
      <c r="D57" s="787"/>
      <c r="E57" s="787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136"/>
    </row>
    <row r="58" spans="1:40" ht="17.100000000000001" customHeight="1" x14ac:dyDescent="0.25">
      <c r="A58" s="157"/>
      <c r="B58" s="606" t="s">
        <v>144</v>
      </c>
      <c r="C58" s="878"/>
      <c r="D58" s="878"/>
      <c r="E58" s="878"/>
      <c r="F58" s="878"/>
      <c r="G58" s="878"/>
      <c r="H58" s="878"/>
      <c r="I58" s="878"/>
      <c r="J58" s="878"/>
      <c r="K58" s="878"/>
      <c r="L58" s="878"/>
      <c r="M58" s="878"/>
      <c r="N58" s="878"/>
      <c r="O58" s="878"/>
      <c r="P58" s="878"/>
      <c r="Q58" s="878"/>
      <c r="R58" s="878"/>
      <c r="S58" s="878"/>
      <c r="T58" s="878"/>
      <c r="U58" s="878"/>
      <c r="V58" s="878"/>
      <c r="W58" s="878"/>
      <c r="X58" s="878"/>
      <c r="Y58" s="878"/>
      <c r="Z58" s="878"/>
      <c r="AA58" s="878"/>
      <c r="AB58" s="878"/>
      <c r="AC58" s="878"/>
      <c r="AD58" s="878"/>
      <c r="AE58" s="878"/>
      <c r="AF58" s="878"/>
      <c r="AG58" s="878"/>
      <c r="AH58" s="878"/>
      <c r="AI58" s="878"/>
      <c r="AJ58" s="878"/>
      <c r="AK58" s="879"/>
      <c r="AL58" s="136"/>
    </row>
    <row r="59" spans="1:40" ht="17.100000000000001" customHeight="1" x14ac:dyDescent="0.25">
      <c r="A59" s="163"/>
      <c r="B59" s="880"/>
      <c r="C59" s="881"/>
      <c r="D59" s="881"/>
      <c r="E59" s="881"/>
      <c r="F59" s="881"/>
      <c r="G59" s="881"/>
      <c r="H59" s="881"/>
      <c r="I59" s="881"/>
      <c r="J59" s="881"/>
      <c r="K59" s="881"/>
      <c r="L59" s="881"/>
      <c r="M59" s="881"/>
      <c r="N59" s="881"/>
      <c r="O59" s="881"/>
      <c r="P59" s="881"/>
      <c r="Q59" s="881"/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1"/>
      <c r="AJ59" s="881"/>
      <c r="AK59" s="882"/>
      <c r="AL59" s="136"/>
    </row>
    <row r="60" spans="1:40" ht="17.100000000000001" customHeight="1" x14ac:dyDescent="0.25">
      <c r="A60" s="163"/>
      <c r="B60" s="880"/>
      <c r="C60" s="881"/>
      <c r="D60" s="881"/>
      <c r="E60" s="881"/>
      <c r="F60" s="881"/>
      <c r="G60" s="881"/>
      <c r="H60" s="881"/>
      <c r="I60" s="881"/>
      <c r="J60" s="881"/>
      <c r="K60" s="881"/>
      <c r="L60" s="881"/>
      <c r="M60" s="881"/>
      <c r="N60" s="881"/>
      <c r="O60" s="881"/>
      <c r="P60" s="881"/>
      <c r="Q60" s="881"/>
      <c r="R60" s="881"/>
      <c r="S60" s="881"/>
      <c r="T60" s="881"/>
      <c r="U60" s="881"/>
      <c r="V60" s="881"/>
      <c r="W60" s="881"/>
      <c r="X60" s="881"/>
      <c r="Y60" s="881"/>
      <c r="Z60" s="881"/>
      <c r="AA60" s="881"/>
      <c r="AB60" s="881"/>
      <c r="AC60" s="881"/>
      <c r="AD60" s="881"/>
      <c r="AE60" s="881"/>
      <c r="AF60" s="881"/>
      <c r="AG60" s="881"/>
      <c r="AH60" s="881"/>
      <c r="AI60" s="881"/>
      <c r="AJ60" s="881"/>
      <c r="AK60" s="882"/>
      <c r="AL60" s="136"/>
    </row>
    <row r="61" spans="1:40" ht="17.100000000000001" customHeight="1" x14ac:dyDescent="0.25">
      <c r="A61" s="157"/>
      <c r="B61" s="880"/>
      <c r="C61" s="881"/>
      <c r="D61" s="881"/>
      <c r="E61" s="881"/>
      <c r="F61" s="881"/>
      <c r="G61" s="881"/>
      <c r="H61" s="881"/>
      <c r="I61" s="881"/>
      <c r="J61" s="881"/>
      <c r="K61" s="881"/>
      <c r="L61" s="881"/>
      <c r="M61" s="881"/>
      <c r="N61" s="881"/>
      <c r="O61" s="881"/>
      <c r="P61" s="881"/>
      <c r="Q61" s="881"/>
      <c r="R61" s="881"/>
      <c r="S61" s="881"/>
      <c r="T61" s="881"/>
      <c r="U61" s="881"/>
      <c r="V61" s="881"/>
      <c r="W61" s="881"/>
      <c r="X61" s="881"/>
      <c r="Y61" s="881"/>
      <c r="Z61" s="881"/>
      <c r="AA61" s="881"/>
      <c r="AB61" s="881"/>
      <c r="AC61" s="881"/>
      <c r="AD61" s="881"/>
      <c r="AE61" s="881"/>
      <c r="AF61" s="881"/>
      <c r="AG61" s="881"/>
      <c r="AH61" s="881"/>
      <c r="AI61" s="881"/>
      <c r="AJ61" s="881"/>
      <c r="AK61" s="882"/>
      <c r="AL61" s="160"/>
    </row>
    <row r="62" spans="1:40" ht="17.100000000000001" customHeight="1" x14ac:dyDescent="0.25">
      <c r="A62" s="157"/>
      <c r="B62" s="880"/>
      <c r="C62" s="881"/>
      <c r="D62" s="881"/>
      <c r="E62" s="881"/>
      <c r="F62" s="881"/>
      <c r="G62" s="881"/>
      <c r="H62" s="881"/>
      <c r="I62" s="881"/>
      <c r="J62" s="881"/>
      <c r="K62" s="881"/>
      <c r="L62" s="881"/>
      <c r="M62" s="881"/>
      <c r="N62" s="881"/>
      <c r="O62" s="881"/>
      <c r="P62" s="881"/>
      <c r="Q62" s="881"/>
      <c r="R62" s="881"/>
      <c r="S62" s="881"/>
      <c r="T62" s="881"/>
      <c r="U62" s="881"/>
      <c r="V62" s="881"/>
      <c r="W62" s="881"/>
      <c r="X62" s="881"/>
      <c r="Y62" s="881"/>
      <c r="Z62" s="881"/>
      <c r="AA62" s="881"/>
      <c r="AB62" s="881"/>
      <c r="AC62" s="881"/>
      <c r="AD62" s="881"/>
      <c r="AE62" s="881"/>
      <c r="AF62" s="881"/>
      <c r="AG62" s="881"/>
      <c r="AH62" s="881"/>
      <c r="AI62" s="881"/>
      <c r="AJ62" s="881"/>
      <c r="AK62" s="882"/>
      <c r="AL62" s="160"/>
    </row>
    <row r="63" spans="1:40" ht="17.100000000000001" customHeight="1" x14ac:dyDescent="0.25">
      <c r="A63" s="157"/>
      <c r="B63" s="880"/>
      <c r="C63" s="881"/>
      <c r="D63" s="881"/>
      <c r="E63" s="881"/>
      <c r="F63" s="881"/>
      <c r="G63" s="881"/>
      <c r="H63" s="881"/>
      <c r="I63" s="881"/>
      <c r="J63" s="881"/>
      <c r="K63" s="881"/>
      <c r="L63" s="881"/>
      <c r="M63" s="881"/>
      <c r="N63" s="881"/>
      <c r="O63" s="881"/>
      <c r="P63" s="881"/>
      <c r="Q63" s="881"/>
      <c r="R63" s="881"/>
      <c r="S63" s="881"/>
      <c r="T63" s="881"/>
      <c r="U63" s="881"/>
      <c r="V63" s="881"/>
      <c r="W63" s="881"/>
      <c r="X63" s="881"/>
      <c r="Y63" s="881"/>
      <c r="Z63" s="881"/>
      <c r="AA63" s="881"/>
      <c r="AB63" s="881"/>
      <c r="AC63" s="881"/>
      <c r="AD63" s="881"/>
      <c r="AE63" s="881"/>
      <c r="AF63" s="881"/>
      <c r="AG63" s="881"/>
      <c r="AH63" s="881"/>
      <c r="AI63" s="881"/>
      <c r="AJ63" s="881"/>
      <c r="AK63" s="882"/>
      <c r="AL63" s="160"/>
    </row>
    <row r="64" spans="1:40" ht="17.100000000000001" customHeight="1" x14ac:dyDescent="0.25">
      <c r="A64" s="157"/>
      <c r="B64" s="880"/>
      <c r="C64" s="881"/>
      <c r="D64" s="881"/>
      <c r="E64" s="881"/>
      <c r="F64" s="881"/>
      <c r="G64" s="881"/>
      <c r="H64" s="881"/>
      <c r="I64" s="881"/>
      <c r="J64" s="881"/>
      <c r="K64" s="881"/>
      <c r="L64" s="881"/>
      <c r="M64" s="881"/>
      <c r="N64" s="881"/>
      <c r="O64" s="881"/>
      <c r="P64" s="881"/>
      <c r="Q64" s="881"/>
      <c r="R64" s="881"/>
      <c r="S64" s="881"/>
      <c r="T64" s="881"/>
      <c r="U64" s="881"/>
      <c r="V64" s="881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  <c r="AG64" s="881"/>
      <c r="AH64" s="881"/>
      <c r="AI64" s="881"/>
      <c r="AJ64" s="881"/>
      <c r="AK64" s="882"/>
      <c r="AL64" s="160"/>
    </row>
    <row r="65" spans="1:94" ht="17.100000000000001" customHeight="1" x14ac:dyDescent="0.25">
      <c r="A65" s="157"/>
      <c r="B65" s="880"/>
      <c r="C65" s="881"/>
      <c r="D65" s="881"/>
      <c r="E65" s="881"/>
      <c r="F65" s="881"/>
      <c r="G65" s="881"/>
      <c r="H65" s="881"/>
      <c r="I65" s="881"/>
      <c r="J65" s="881"/>
      <c r="K65" s="881"/>
      <c r="L65" s="881"/>
      <c r="M65" s="881"/>
      <c r="N65" s="881"/>
      <c r="O65" s="881"/>
      <c r="P65" s="881"/>
      <c r="Q65" s="881"/>
      <c r="R65" s="881"/>
      <c r="S65" s="881"/>
      <c r="T65" s="881"/>
      <c r="U65" s="881"/>
      <c r="V65" s="881"/>
      <c r="W65" s="881"/>
      <c r="X65" s="881"/>
      <c r="Y65" s="881"/>
      <c r="Z65" s="881"/>
      <c r="AA65" s="881"/>
      <c r="AB65" s="881"/>
      <c r="AC65" s="881"/>
      <c r="AD65" s="881"/>
      <c r="AE65" s="881"/>
      <c r="AF65" s="881"/>
      <c r="AG65" s="881"/>
      <c r="AH65" s="881"/>
      <c r="AI65" s="881"/>
      <c r="AJ65" s="881"/>
      <c r="AK65" s="882"/>
      <c r="AL65" s="160"/>
      <c r="CF65" s="224"/>
      <c r="CG65" s="224"/>
      <c r="CH65" s="224"/>
      <c r="CI65" s="224"/>
      <c r="CJ65" s="224"/>
      <c r="CK65" s="224"/>
      <c r="CL65" s="224"/>
      <c r="CM65" s="224"/>
      <c r="CN65" s="224"/>
      <c r="CO65" s="224"/>
      <c r="CP65" s="224"/>
    </row>
    <row r="66" spans="1:94" ht="17.100000000000001" customHeight="1" x14ac:dyDescent="0.25">
      <c r="A66" s="157"/>
      <c r="B66" s="880"/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881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1"/>
      <c r="AC66" s="881"/>
      <c r="AD66" s="881"/>
      <c r="AE66" s="881"/>
      <c r="AF66" s="881"/>
      <c r="AG66" s="881"/>
      <c r="AH66" s="881"/>
      <c r="AI66" s="881"/>
      <c r="AJ66" s="881"/>
      <c r="AK66" s="882"/>
      <c r="AL66" s="160"/>
      <c r="CF66" s="224"/>
      <c r="CG66" s="224"/>
      <c r="CH66" s="224"/>
      <c r="CI66" s="224"/>
      <c r="CJ66" s="224"/>
      <c r="CK66" s="224"/>
      <c r="CL66" s="224"/>
      <c r="CM66" s="224"/>
      <c r="CN66" s="224"/>
      <c r="CO66" s="224"/>
      <c r="CP66" s="224"/>
    </row>
    <row r="67" spans="1:94" ht="17.100000000000001" customHeight="1" thickBot="1" x14ac:dyDescent="0.3">
      <c r="A67" s="157"/>
      <c r="B67" s="883"/>
      <c r="C67" s="884"/>
      <c r="D67" s="884"/>
      <c r="E67" s="884"/>
      <c r="F67" s="884"/>
      <c r="G67" s="884"/>
      <c r="H67" s="884"/>
      <c r="I67" s="884"/>
      <c r="J67" s="884"/>
      <c r="K67" s="884"/>
      <c r="L67" s="884"/>
      <c r="M67" s="884"/>
      <c r="N67" s="884"/>
      <c r="O67" s="884"/>
      <c r="P67" s="884"/>
      <c r="Q67" s="884"/>
      <c r="R67" s="884"/>
      <c r="S67" s="884"/>
      <c r="T67" s="884"/>
      <c r="U67" s="884"/>
      <c r="V67" s="884"/>
      <c r="W67" s="884"/>
      <c r="X67" s="884"/>
      <c r="Y67" s="884"/>
      <c r="Z67" s="884"/>
      <c r="AA67" s="884"/>
      <c r="AB67" s="884"/>
      <c r="AC67" s="884"/>
      <c r="AD67" s="884"/>
      <c r="AE67" s="884"/>
      <c r="AF67" s="884"/>
      <c r="AG67" s="884"/>
      <c r="AH67" s="884"/>
      <c r="AI67" s="884"/>
      <c r="AJ67" s="884"/>
      <c r="AK67" s="885"/>
      <c r="AL67" s="160"/>
      <c r="CF67" s="224"/>
      <c r="CG67" s="224"/>
      <c r="CH67" s="224"/>
      <c r="CI67" s="224"/>
      <c r="CJ67" s="224"/>
      <c r="CK67" s="224"/>
      <c r="CL67" s="224"/>
      <c r="CM67" s="224"/>
      <c r="CN67" s="224"/>
      <c r="CO67" s="224"/>
      <c r="CP67" s="224"/>
    </row>
    <row r="68" spans="1:94" ht="17.100000000000001" customHeight="1" x14ac:dyDescent="0.25">
      <c r="A68" s="157"/>
      <c r="AL68" s="160"/>
      <c r="CF68" s="224"/>
      <c r="CG68" s="224"/>
      <c r="CH68" s="224"/>
      <c r="CI68" s="224"/>
      <c r="CJ68" s="224"/>
      <c r="CK68" s="224"/>
      <c r="CL68" s="224"/>
      <c r="CM68" s="224"/>
      <c r="CN68" s="224"/>
      <c r="CO68" s="224"/>
      <c r="CP68" s="224"/>
    </row>
    <row r="69" spans="1:94" ht="17.100000000000001" customHeight="1" x14ac:dyDescent="0.25">
      <c r="A69" s="157"/>
      <c r="B69" s="432" t="s">
        <v>115</v>
      </c>
      <c r="C69" s="432"/>
      <c r="D69" s="432"/>
      <c r="E69" s="432"/>
      <c r="F69" s="432"/>
      <c r="G69" s="432"/>
      <c r="H69" s="886" t="str">
        <f>TEXT(Infos!$B$6, "TT-MMM-JJJJ")</f>
        <v>00-Jan-1900</v>
      </c>
      <c r="I69" s="886"/>
      <c r="J69" s="886"/>
      <c r="K69" s="886"/>
      <c r="L69" s="886"/>
      <c r="M69" s="886"/>
      <c r="N69" s="44"/>
      <c r="O69" s="44" t="s">
        <v>26</v>
      </c>
      <c r="P69" s="44"/>
      <c r="Q69" s="503">
        <f>Infos!D5</f>
        <v>0</v>
      </c>
      <c r="R69" s="877"/>
      <c r="S69" s="877"/>
      <c r="T69" s="877"/>
      <c r="U69" s="503">
        <f>Infos!D6</f>
        <v>0</v>
      </c>
      <c r="V69" s="503"/>
      <c r="W69" s="503"/>
      <c r="Z69" s="187"/>
      <c r="AA69" s="187"/>
      <c r="AB69" s="187"/>
      <c r="AL69" s="160"/>
      <c r="CF69" s="224"/>
      <c r="CG69" s="224"/>
      <c r="CH69" s="224"/>
      <c r="CI69" s="224"/>
      <c r="CJ69" s="224"/>
      <c r="CK69" s="224"/>
      <c r="CL69" s="224"/>
      <c r="CM69" s="224"/>
      <c r="CN69" s="224"/>
      <c r="CO69" s="224"/>
      <c r="CP69" s="224"/>
    </row>
    <row r="70" spans="1:94" ht="17.100000000000001" customHeight="1" thickBot="1" x14ac:dyDescent="0.3">
      <c r="A70" s="162"/>
      <c r="B70" s="159"/>
      <c r="C70" s="159"/>
      <c r="D70" s="159"/>
      <c r="E70" s="15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206"/>
      <c r="AA70" s="206"/>
      <c r="AB70" s="206"/>
      <c r="AC70" s="206"/>
      <c r="AD70" s="206"/>
      <c r="AE70" s="206"/>
      <c r="AF70" s="207"/>
      <c r="AG70" s="207"/>
      <c r="AH70" s="159"/>
      <c r="AI70" s="159"/>
      <c r="AJ70" s="159"/>
      <c r="AK70" s="159"/>
      <c r="AL70" s="173"/>
      <c r="CF70" s="224"/>
      <c r="CG70" s="224"/>
      <c r="CH70" s="224"/>
      <c r="CI70" s="224"/>
      <c r="CJ70" s="224"/>
      <c r="CK70" s="224"/>
      <c r="CL70" s="224"/>
      <c r="CM70" s="224"/>
      <c r="CN70" s="224"/>
      <c r="CO70" s="224"/>
      <c r="CP70" s="224"/>
    </row>
    <row r="71" spans="1:94" ht="17.100000000000001" customHeight="1" x14ac:dyDescent="0.25">
      <c r="Z71" s="174"/>
      <c r="AA71" s="174"/>
      <c r="AB71" s="174"/>
      <c r="AC71" s="174"/>
      <c r="AD71" s="174"/>
      <c r="AE71" s="174"/>
      <c r="AF71" s="175"/>
      <c r="AG71" s="175"/>
      <c r="CF71" s="224"/>
      <c r="CG71" s="224"/>
      <c r="CH71" s="224"/>
      <c r="CI71" s="224"/>
      <c r="CJ71" s="224"/>
      <c r="CK71" s="224"/>
      <c r="CL71" s="224"/>
      <c r="CM71" s="224"/>
      <c r="CN71" s="224"/>
      <c r="CO71" s="224"/>
      <c r="CP71" s="224"/>
    </row>
    <row r="72" spans="1:94" ht="17.100000000000001" customHeight="1" x14ac:dyDescent="0.25">
      <c r="Z72" s="174"/>
      <c r="AA72" s="174"/>
      <c r="AB72" s="174"/>
      <c r="AC72" s="174"/>
      <c r="AD72" s="174"/>
      <c r="AE72" s="174"/>
      <c r="AF72" s="175"/>
      <c r="CF72" s="224"/>
      <c r="CG72" s="224"/>
      <c r="CH72" s="224"/>
      <c r="CI72" s="224"/>
      <c r="CJ72" s="224"/>
      <c r="CK72" s="224"/>
      <c r="CL72" s="224"/>
      <c r="CM72" s="224"/>
      <c r="CN72" s="224"/>
      <c r="CO72" s="224"/>
      <c r="CP72" s="224"/>
    </row>
    <row r="73" spans="1:94" ht="17.100000000000001" customHeight="1" x14ac:dyDescent="0.25">
      <c r="AC73" s="176"/>
      <c r="AD73" s="176"/>
      <c r="AE73" s="176"/>
    </row>
    <row r="100" spans="1:3" ht="17.100000000000001" customHeight="1" x14ac:dyDescent="0.25">
      <c r="A100" s="307" t="str">
        <f>IF(Sprache="English","setup support",IF(Sprache="Deutsch","Rüsthilfe",""))</f>
        <v>Rüsthilfe</v>
      </c>
      <c r="B100" s="199" t="str">
        <f>A100</f>
        <v>Rüsthilfe</v>
      </c>
      <c r="C100" s="199"/>
    </row>
  </sheetData>
  <sheetProtection sheet="1" scenarios="1" formatCells="0" formatColumns="0" formatRows="0" insertRows="0" insertHyperlinks="0" deleteRows="0" selectLockedCells="1"/>
  <dataConsolidate/>
  <mergeCells count="282">
    <mergeCell ref="Y27:Z27"/>
    <mergeCell ref="AA27:AB27"/>
    <mergeCell ref="B42:C42"/>
    <mergeCell ref="B46:C46"/>
    <mergeCell ref="B47:C47"/>
    <mergeCell ref="B48:C48"/>
    <mergeCell ref="B54:C54"/>
    <mergeCell ref="D42:I42"/>
    <mergeCell ref="D36:I36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51:C51"/>
    <mergeCell ref="B52:C52"/>
    <mergeCell ref="B53:C53"/>
    <mergeCell ref="W27:X27"/>
    <mergeCell ref="W28:X28"/>
    <mergeCell ref="J41:L41"/>
    <mergeCell ref="AE10:AJ10"/>
    <mergeCell ref="AF7:AG7"/>
    <mergeCell ref="AF1:AK1"/>
    <mergeCell ref="AF2:AK2"/>
    <mergeCell ref="AF22:AH22"/>
    <mergeCell ref="AF23:AH23"/>
    <mergeCell ref="AF21:AH21"/>
    <mergeCell ref="AE28:AF28"/>
    <mergeCell ref="AG28:AH28"/>
    <mergeCell ref="AI28:AJ28"/>
    <mergeCell ref="AH18:AK18"/>
    <mergeCell ref="AI21:AL21"/>
    <mergeCell ref="AE15:AK15"/>
    <mergeCell ref="AE17:AK17"/>
    <mergeCell ref="AK27:AL27"/>
    <mergeCell ref="AE27:AF27"/>
    <mergeCell ref="AG27:AH27"/>
    <mergeCell ref="AE16:AG16"/>
    <mergeCell ref="AE18:AG18"/>
    <mergeCell ref="AE11:AJ11"/>
    <mergeCell ref="AC1:AE1"/>
    <mergeCell ref="Z17:AD17"/>
    <mergeCell ref="Z11:AC11"/>
    <mergeCell ref="AI27:AJ27"/>
    <mergeCell ref="AN1:AU1"/>
    <mergeCell ref="AN26:BN26"/>
    <mergeCell ref="BD6:BG6"/>
    <mergeCell ref="Z15:AD15"/>
    <mergeCell ref="AH16:AK16"/>
    <mergeCell ref="AE14:AG14"/>
    <mergeCell ref="BD5:BS5"/>
    <mergeCell ref="AR21:AV21"/>
    <mergeCell ref="AH7:AJ7"/>
    <mergeCell ref="Z6:AC6"/>
    <mergeCell ref="AN20:AX20"/>
    <mergeCell ref="AC26:AD26"/>
    <mergeCell ref="AE26:AF26"/>
    <mergeCell ref="AG26:AH26"/>
    <mergeCell ref="AI26:AJ26"/>
    <mergeCell ref="Z14:AD14"/>
    <mergeCell ref="AH14:AK14"/>
    <mergeCell ref="AH20:AK20"/>
    <mergeCell ref="Z10:AB10"/>
    <mergeCell ref="AE9:AJ9"/>
    <mergeCell ref="Z7:AD7"/>
    <mergeCell ref="AE8:AJ8"/>
    <mergeCell ref="AN8:AX8"/>
    <mergeCell ref="AN6:BC6"/>
    <mergeCell ref="Y29:Z29"/>
    <mergeCell ref="AA28:AB28"/>
    <mergeCell ref="AC28:AD28"/>
    <mergeCell ref="K29:L29"/>
    <mergeCell ref="D34:I34"/>
    <mergeCell ref="D35:I35"/>
    <mergeCell ref="J33:L33"/>
    <mergeCell ref="J34:L34"/>
    <mergeCell ref="J35:L35"/>
    <mergeCell ref="G29:H29"/>
    <mergeCell ref="Y28:Z28"/>
    <mergeCell ref="G28:H28"/>
    <mergeCell ref="K28:L28"/>
    <mergeCell ref="M28:N28"/>
    <mergeCell ref="O28:P28"/>
    <mergeCell ref="Q28:R28"/>
    <mergeCell ref="S28:T28"/>
    <mergeCell ref="AA29:AB29"/>
    <mergeCell ref="Q44:V44"/>
    <mergeCell ref="M29:N29"/>
    <mergeCell ref="D38:I38"/>
    <mergeCell ref="D32:I32"/>
    <mergeCell ref="D45:I45"/>
    <mergeCell ref="Q69:T69"/>
    <mergeCell ref="D55:I55"/>
    <mergeCell ref="B58:AK67"/>
    <mergeCell ref="J49:L49"/>
    <mergeCell ref="D49:I49"/>
    <mergeCell ref="D50:I50"/>
    <mergeCell ref="D51:I51"/>
    <mergeCell ref="D52:I52"/>
    <mergeCell ref="D53:I53"/>
    <mergeCell ref="D54:I54"/>
    <mergeCell ref="U69:W69"/>
    <mergeCell ref="J55:L55"/>
    <mergeCell ref="B69:G69"/>
    <mergeCell ref="H69:M69"/>
    <mergeCell ref="J50:L50"/>
    <mergeCell ref="B49:C49"/>
    <mergeCell ref="B50:C50"/>
    <mergeCell ref="B55:C55"/>
    <mergeCell ref="AC29:AD29"/>
    <mergeCell ref="J52:L52"/>
    <mergeCell ref="J53:L53"/>
    <mergeCell ref="J54:L54"/>
    <mergeCell ref="J51:L51"/>
    <mergeCell ref="J46:L46"/>
    <mergeCell ref="J47:L47"/>
    <mergeCell ref="J48:L48"/>
    <mergeCell ref="D46:I46"/>
    <mergeCell ref="D47:I47"/>
    <mergeCell ref="D48:I48"/>
    <mergeCell ref="J39:L39"/>
    <mergeCell ref="J40:L40"/>
    <mergeCell ref="J42:L42"/>
    <mergeCell ref="J45:P45"/>
    <mergeCell ref="D39:I39"/>
    <mergeCell ref="D37:I37"/>
    <mergeCell ref="D40:I40"/>
    <mergeCell ref="D41:I41"/>
    <mergeCell ref="C26:D26"/>
    <mergeCell ref="C29:D29"/>
    <mergeCell ref="E29:F29"/>
    <mergeCell ref="K27:L27"/>
    <mergeCell ref="E26:F26"/>
    <mergeCell ref="G26:H26"/>
    <mergeCell ref="J38:L38"/>
    <mergeCell ref="I28:J28"/>
    <mergeCell ref="D33:I33"/>
    <mergeCell ref="I27:J27"/>
    <mergeCell ref="E28:F28"/>
    <mergeCell ref="E27:F27"/>
    <mergeCell ref="G27:H27"/>
    <mergeCell ref="C27:D27"/>
    <mergeCell ref="J36:L36"/>
    <mergeCell ref="J37:L37"/>
    <mergeCell ref="D2:Q2"/>
    <mergeCell ref="AC2:AD2"/>
    <mergeCell ref="E7:I7"/>
    <mergeCell ref="A8:D8"/>
    <mergeCell ref="E8:I8"/>
    <mergeCell ref="E6:I6"/>
    <mergeCell ref="A2:C2"/>
    <mergeCell ref="A4:G4"/>
    <mergeCell ref="A7:C7"/>
    <mergeCell ref="L4:O4"/>
    <mergeCell ref="M7:Q7"/>
    <mergeCell ref="S7:T7"/>
    <mergeCell ref="U7:W7"/>
    <mergeCell ref="A6:C6"/>
    <mergeCell ref="M6:P6"/>
    <mergeCell ref="M8:P8"/>
    <mergeCell ref="R8:W8"/>
    <mergeCell ref="AN33:AR33"/>
    <mergeCell ref="J32:P32"/>
    <mergeCell ref="AI29:AJ29"/>
    <mergeCell ref="W29:X29"/>
    <mergeCell ref="M22:N22"/>
    <mergeCell ref="AN27:AQ27"/>
    <mergeCell ref="AN32:AQ32"/>
    <mergeCell ref="AN22:AQ22"/>
    <mergeCell ref="X22:Y22"/>
    <mergeCell ref="X23:Y23"/>
    <mergeCell ref="AI22:AJ22"/>
    <mergeCell ref="AK22:AL22"/>
    <mergeCell ref="AI23:AJ23"/>
    <mergeCell ref="AK23:AL23"/>
    <mergeCell ref="Z22:AA22"/>
    <mergeCell ref="AE29:AF29"/>
    <mergeCell ref="AB22:AC22"/>
    <mergeCell ref="Z23:AA23"/>
    <mergeCell ref="AB23:AC23"/>
    <mergeCell ref="M23:N23"/>
    <mergeCell ref="Q31:V31"/>
    <mergeCell ref="S29:T29"/>
    <mergeCell ref="AG29:AH29"/>
    <mergeCell ref="M27:N27"/>
    <mergeCell ref="R10:W10"/>
    <mergeCell ref="M10:O10"/>
    <mergeCell ref="AN14:AU14"/>
    <mergeCell ref="S22:W22"/>
    <mergeCell ref="D23:E23"/>
    <mergeCell ref="B17:E17"/>
    <mergeCell ref="Z20:AC20"/>
    <mergeCell ref="A21:D21"/>
    <mergeCell ref="H22:I22"/>
    <mergeCell ref="Q23:R23"/>
    <mergeCell ref="D22:E22"/>
    <mergeCell ref="Q22:R22"/>
    <mergeCell ref="J17:U17"/>
    <mergeCell ref="J18:U18"/>
    <mergeCell ref="O21:R21"/>
    <mergeCell ref="B15:E15"/>
    <mergeCell ref="B16:E16"/>
    <mergeCell ref="F18:I18"/>
    <mergeCell ref="F16:I16"/>
    <mergeCell ref="F17:I17"/>
    <mergeCell ref="V17:Y17"/>
    <mergeCell ref="B18:E18"/>
    <mergeCell ref="V16:AD16"/>
    <mergeCell ref="V18:AD18"/>
    <mergeCell ref="E11:I11"/>
    <mergeCell ref="S26:T26"/>
    <mergeCell ref="U26:V26"/>
    <mergeCell ref="W26:X26"/>
    <mergeCell ref="Y26:Z26"/>
    <mergeCell ref="AA26:AB26"/>
    <mergeCell ref="U28:V28"/>
    <mergeCell ref="U27:V27"/>
    <mergeCell ref="J23:L23"/>
    <mergeCell ref="X21:Y21"/>
    <mergeCell ref="Z21:AC21"/>
    <mergeCell ref="O22:P22"/>
    <mergeCell ref="O23:P23"/>
    <mergeCell ref="H23:I23"/>
    <mergeCell ref="F22:G22"/>
    <mergeCell ref="U24:W24"/>
    <mergeCell ref="F23:G23"/>
    <mergeCell ref="J21:M21"/>
    <mergeCell ref="S23:W23"/>
    <mergeCell ref="K26:L26"/>
    <mergeCell ref="M26:N26"/>
    <mergeCell ref="D24:E24"/>
    <mergeCell ref="H24:I24"/>
    <mergeCell ref="S24:T24"/>
    <mergeCell ref="O27:P27"/>
    <mergeCell ref="U29:V29"/>
    <mergeCell ref="Q27:R27"/>
    <mergeCell ref="A25:J25"/>
    <mergeCell ref="S21:V21"/>
    <mergeCell ref="S27:T27"/>
    <mergeCell ref="I26:J26"/>
    <mergeCell ref="O26:P26"/>
    <mergeCell ref="Q26:R26"/>
    <mergeCell ref="A24:C24"/>
    <mergeCell ref="A29:B29"/>
    <mergeCell ref="A26:B26"/>
    <mergeCell ref="A28:B28"/>
    <mergeCell ref="I29:J29"/>
    <mergeCell ref="O29:P29"/>
    <mergeCell ref="Q29:R29"/>
    <mergeCell ref="K25:L25"/>
    <mergeCell ref="F24:G24"/>
    <mergeCell ref="A27:B27"/>
    <mergeCell ref="C28:D28"/>
    <mergeCell ref="J22:L22"/>
    <mergeCell ref="AC27:AD27"/>
    <mergeCell ref="A1:F1"/>
    <mergeCell ref="G1:Q1"/>
    <mergeCell ref="B57:E57"/>
    <mergeCell ref="A10:C10"/>
    <mergeCell ref="E9:I9"/>
    <mergeCell ref="E10:I10"/>
    <mergeCell ref="M9:P9"/>
    <mergeCell ref="A9:D9"/>
    <mergeCell ref="A11:C11"/>
    <mergeCell ref="F21:I21"/>
    <mergeCell ref="A13:B13"/>
    <mergeCell ref="J15:U15"/>
    <mergeCell ref="J16:U16"/>
    <mergeCell ref="F14:I14"/>
    <mergeCell ref="J14:U14"/>
    <mergeCell ref="R9:W9"/>
    <mergeCell ref="V14:Y14"/>
    <mergeCell ref="B14:E14"/>
    <mergeCell ref="V15:Y15"/>
    <mergeCell ref="F15:I15"/>
    <mergeCell ref="A20:D20"/>
    <mergeCell ref="A22:C22"/>
    <mergeCell ref="A23:C23"/>
  </mergeCells>
  <conditionalFormatting sqref="A27 C27 E27 G27 I27 K27 M27 O27 Q27 S27 U27 W27 Y27 AA27 AC27 AE27 AG27 AI27">
    <cfRule type="containsBlanks" dxfId="25" priority="36">
      <formula>LEN(TRIM(A27))=0</formula>
    </cfRule>
  </conditionalFormatting>
  <conditionalFormatting sqref="A29 C29 E29 G29 I29 K29 M29 O29 Q29 S29 U29 W29 Y29 AA29 AC29 AE29 AG29 AI29">
    <cfRule type="containsBlanks" dxfId="24" priority="33">
      <formula>LEN(TRIM(A29))=0</formula>
    </cfRule>
  </conditionalFormatting>
  <conditionalFormatting sqref="V15:AD15 V17:AD17 AE16:AK16 B16:J18 B15:I15 AE18:AK18 AF22:AF23 G1">
    <cfRule type="containsBlanks" dxfId="23" priority="32">
      <formula>LEN(TRIM(B1))=0</formula>
    </cfRule>
  </conditionalFormatting>
  <conditionalFormatting sqref="S7:W7 AF7:AJ7">
    <cfRule type="containsBlanks" dxfId="22" priority="28">
      <formula>LEN(TRIM(S7))=0</formula>
    </cfRule>
  </conditionalFormatting>
  <conditionalFormatting sqref="S7:W7 AF7:AJ7 E6:I8 H69:M69 Q69:W69 X22:Y23 D22:E24 M22:N23 D2:Q2 AF1:AF2">
    <cfRule type="containsBlanks" dxfId="21" priority="24">
      <formula>LEN(TRIM(D1))=0</formula>
    </cfRule>
  </conditionalFormatting>
  <conditionalFormatting sqref="D33:AJ42">
    <cfRule type="containsBlanks" dxfId="20" priority="21">
      <formula>LEN(TRIM(D33))=0</formula>
    </cfRule>
  </conditionalFormatting>
  <conditionalFormatting sqref="D46:M55 O46:O55 Q46:Q55 S46:S55 U46:U55 W46:W55 Y46:Y55 AA46:AA55 AC46:AC55 AE46:AE55 AG46:AG55 AI46:AI55">
    <cfRule type="containsBlanks" dxfId="19" priority="20">
      <formula>LEN(TRIM(D46))=0</formula>
    </cfRule>
  </conditionalFormatting>
  <conditionalFormatting sqref="A29:AJ29">
    <cfRule type="beginsWith" dxfId="18" priority="19" operator="beginsWith" text="°C">
      <formula>LEFT(A29,LEN("°C"))="°C"</formula>
    </cfRule>
  </conditionalFormatting>
  <conditionalFormatting sqref="A27:AJ27">
    <cfRule type="beginsWith" dxfId="17" priority="18" operator="beginsWith" text="°C">
      <formula>LEFT(A27,LEN("°C"))="°C"</formula>
    </cfRule>
  </conditionalFormatting>
  <conditionalFormatting sqref="AF22:AF23">
    <cfRule type="cellIs" dxfId="16" priority="17" operator="between">
      <formula>"0.00g"</formula>
      <formula>"0.00g"</formula>
    </cfRule>
  </conditionalFormatting>
  <conditionalFormatting sqref="J15">
    <cfRule type="containsBlanks" dxfId="15" priority="16">
      <formula>LEN(TRIM(J15))=0</formula>
    </cfRule>
  </conditionalFormatting>
  <conditionalFormatting sqref="R9:W9">
    <cfRule type="containsBlanks" dxfId="14" priority="37">
      <formula>LEN(TRIM(R9))=0</formula>
    </cfRule>
  </conditionalFormatting>
  <conditionalFormatting sqref="E9:I11">
    <cfRule type="containsBlanks" dxfId="13" priority="14">
      <formula>LEN(TRIM(E9))=0</formula>
    </cfRule>
  </conditionalFormatting>
  <conditionalFormatting sqref="AE8:AJ10 F22:I24 O22:R23 Z22:AC23 AI22:AL23">
    <cfRule type="containsBlanks" dxfId="12" priority="13">
      <formula>LEN(TRIM(F8))=0</formula>
    </cfRule>
  </conditionalFormatting>
  <conditionalFormatting sqref="N46:N55">
    <cfRule type="containsBlanks" dxfId="11" priority="12">
      <formula>LEN(TRIM(N46))=0</formula>
    </cfRule>
  </conditionalFormatting>
  <conditionalFormatting sqref="P46:P55">
    <cfRule type="containsBlanks" dxfId="10" priority="11">
      <formula>LEN(TRIM(P46))=0</formula>
    </cfRule>
  </conditionalFormatting>
  <conditionalFormatting sqref="R46:R55">
    <cfRule type="containsBlanks" dxfId="9" priority="10">
      <formula>LEN(TRIM(R46))=0</formula>
    </cfRule>
  </conditionalFormatting>
  <conditionalFormatting sqref="T46:T55">
    <cfRule type="containsBlanks" dxfId="8" priority="9">
      <formula>LEN(TRIM(T46))=0</formula>
    </cfRule>
  </conditionalFormatting>
  <conditionalFormatting sqref="V46:V55">
    <cfRule type="containsBlanks" dxfId="7" priority="8">
      <formula>LEN(TRIM(V46))=0</formula>
    </cfRule>
  </conditionalFormatting>
  <conditionalFormatting sqref="X46:X55">
    <cfRule type="containsBlanks" dxfId="6" priority="7">
      <formula>LEN(TRIM(X46))=0</formula>
    </cfRule>
  </conditionalFormatting>
  <conditionalFormatting sqref="Z46:Z55">
    <cfRule type="containsBlanks" dxfId="5" priority="6">
      <formula>LEN(TRIM(Z46))=0</formula>
    </cfRule>
  </conditionalFormatting>
  <conditionalFormatting sqref="AB46:AB55">
    <cfRule type="containsBlanks" dxfId="4" priority="5">
      <formula>LEN(TRIM(AB46))=0</formula>
    </cfRule>
  </conditionalFormatting>
  <conditionalFormatting sqref="AD46:AD55">
    <cfRule type="containsBlanks" dxfId="3" priority="4">
      <formula>LEN(TRIM(AD46))=0</formula>
    </cfRule>
  </conditionalFormatting>
  <conditionalFormatting sqref="AF46:AF55">
    <cfRule type="containsBlanks" dxfId="2" priority="3">
      <formula>LEN(TRIM(AF46))=0</formula>
    </cfRule>
  </conditionalFormatting>
  <conditionalFormatting sqref="AH46:AH55">
    <cfRule type="containsBlanks" dxfId="1" priority="2">
      <formula>LEN(TRIM(AH46))=0</formula>
    </cfRule>
  </conditionalFormatting>
  <conditionalFormatting sqref="AJ46:AJ55">
    <cfRule type="containsBlanks" dxfId="0" priority="1">
      <formula>LEN(TRIM(AJ46))=0</formula>
    </cfRule>
  </conditionalFormatting>
  <dataValidations disablePrompts="1" count="1">
    <dataValidation allowBlank="1" showDropDown="1" showInputMessage="1" showErrorMessage="1" sqref="B15:E18" xr:uid="{00000000-0002-0000-0900-000000000000}"/>
  </dataValidations>
  <pageMargins left="0.55118110236220474" right="0.23622047244094491" top="0.9055118110236221" bottom="0.47244094488188981" header="0.51181102362204722" footer="0.19685039370078741"/>
  <pageSetup paperSize="9" scale="32" orientation="portrait" r:id="rId1"/>
  <headerFooter alignWithMargins="0">
    <oddHeader>&amp;R&amp;G&amp;C&amp;"Arial,Bold"&amp;20Rüsthilfe&amp;L&amp;"Arial"&amp;14
Set-Up Parameters - Sampling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68" r:id="rId5" name="Button 20">
              <controlPr defaultSize="0" print="0" autoFill="0" autoPict="0" macro="[0]!Tabelle12.Speichern_unter_Ruesthilfe">
                <anchor>
                  <from>
                    <xdr:col>44</xdr:col>
                    <xdr:colOff>7620</xdr:colOff>
                    <xdr:row>3</xdr:row>
                    <xdr:rowOff>99060</xdr:rowOff>
                  </from>
                  <to>
                    <xdr:col>50</xdr:col>
                    <xdr:colOff>160020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6" name="Button 23">
              <controlPr locked="0" defaultSize="0" print="0" autoFill="0" autoPict="0" macro="[0]!Tabelle12.Infos_anzeigen">
                <anchor>
                  <from>
                    <xdr:col>66</xdr:col>
                    <xdr:colOff>0</xdr:colOff>
                    <xdr:row>42</xdr:row>
                    <xdr:rowOff>68580</xdr:rowOff>
                  </from>
                  <to>
                    <xdr:col>69</xdr:col>
                    <xdr:colOff>114300</xdr:colOff>
                    <xdr:row>43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7" name="Check Box 24">
              <controlPr defaultSize="0" autoFill="0" autoLine="0" autoPict="0">
                <anchor>
                  <from>
                    <xdr:col>29</xdr:col>
                    <xdr:colOff>327660</xdr:colOff>
                    <xdr:row>57</xdr:row>
                    <xdr:rowOff>38100</xdr:rowOff>
                  </from>
                  <to>
                    <xdr:col>36</xdr:col>
                    <xdr:colOff>220980</xdr:colOff>
                    <xdr:row>57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900-000003000000}">
          <x14:formula1>
            <xm:f>Infos!$D$94:$D$95</xm:f>
          </x14:formula1>
          <xm:sqref>AE11:AJ11</xm:sqref>
        </x14:dataValidation>
        <x14:dataValidation type="list" allowBlank="1" showInputMessage="1" showErrorMessage="1" xr:uid="{00000000-0002-0000-0900-000002000000}">
          <x14:formula1>
            <xm:f>Infos!$A$26:$A$29</xm:f>
          </x14:formula1>
          <xm:sqref>AD19:AG19</xm:sqref>
        </x14:dataValidation>
        <x14:dataValidation type="list" allowBlank="1" showInputMessage="1" showErrorMessage="1" xr:uid="{00000000-0002-0000-0900-000001000000}">
          <x14:formula1>
            <xm:f>Infos!$E$10:$E$20</xm:f>
          </x14:formula1>
          <xm:sqref>DA14:DE18 Z19:AC19 CG14:CK18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pageSetUpPr fitToPage="1"/>
  </sheetPr>
  <dimension ref="A1:Z100"/>
  <sheetViews>
    <sheetView showGridLines="0" view="pageLayout" zoomScale="70" zoomScaleNormal="70" zoomScalePageLayoutView="70" workbookViewId="0">
      <selection activeCell="A6" sqref="A6:G42"/>
    </sheetView>
  </sheetViews>
  <sheetFormatPr defaultColWidth="3.6640625" defaultRowHeight="17.100000000000001" customHeight="1" x14ac:dyDescent="0.25"/>
  <cols>
    <col min="1" max="1" width="33" style="66" customWidth="1"/>
    <col min="2" max="2" width="8.109375" style="62" customWidth="1"/>
    <col min="3" max="3" width="24.109375" style="62" customWidth="1"/>
    <col min="4" max="4" width="26.33203125" style="62" customWidth="1"/>
    <col min="5" max="5" width="13" style="62" customWidth="1"/>
    <col min="6" max="6" width="26.44140625" style="62" customWidth="1"/>
    <col min="7" max="7" width="32.33203125" style="62" customWidth="1"/>
    <col min="8" max="8" width="21.88671875" style="62" customWidth="1"/>
    <col min="9" max="9" width="15.44140625" style="62" customWidth="1"/>
    <col min="10" max="10" width="3.6640625" style="62" customWidth="1"/>
    <col min="11" max="11" width="8.33203125" style="62" customWidth="1"/>
    <col min="12" max="12" width="17.88671875" style="62" customWidth="1"/>
    <col min="13" max="13" width="10.33203125" style="62" customWidth="1"/>
    <col min="14" max="16384" width="3.6640625" style="62"/>
  </cols>
  <sheetData>
    <row r="1" spans="1:8" s="81" customFormat="1" ht="24.75" customHeight="1" x14ac:dyDescent="0.25">
      <c r="A1" s="346" t="str">
        <f>IF(Sprache="English","article",IF(Sprache="Deutsch","Artikel",""))</f>
        <v>Artikel</v>
      </c>
      <c r="B1" s="921">
        <f>Infos!B3</f>
        <v>0</v>
      </c>
      <c r="C1" s="922"/>
      <c r="D1" s="347" t="str">
        <f>IF(Sprache="English","article description",IF(Sprache="Deutsch","Artikelbezeichnung",""))</f>
        <v>Artikelbezeichnung</v>
      </c>
      <c r="E1" s="925">
        <f>Infos!F2</f>
        <v>0</v>
      </c>
      <c r="F1" s="926"/>
      <c r="G1" s="927"/>
    </row>
    <row r="2" spans="1:8" s="81" customFormat="1" ht="24.75" customHeight="1" thickBot="1" x14ac:dyDescent="0.3">
      <c r="A2" s="348" t="str">
        <f>IF(Sprache="English","mold number",IF(Sprache="Deutsch","WE Nr:",""))</f>
        <v>WE Nr:</v>
      </c>
      <c r="B2" s="923">
        <f>Infos!D2</f>
        <v>0</v>
      </c>
      <c r="C2" s="924"/>
      <c r="D2" s="349" t="s">
        <v>0</v>
      </c>
      <c r="E2" s="350">
        <f>Infos!B5</f>
        <v>0</v>
      </c>
      <c r="F2" s="351" t="s">
        <v>140</v>
      </c>
      <c r="G2" s="352">
        <f>Infos!B2</f>
        <v>0</v>
      </c>
    </row>
    <row r="3" spans="1:8" s="81" customFormat="1" ht="15.75" customHeight="1" x14ac:dyDescent="0.25">
      <c r="A3" s="82"/>
      <c r="B3" s="353"/>
      <c r="C3" s="353"/>
      <c r="D3" s="353"/>
      <c r="E3" s="354"/>
    </row>
    <row r="4" spans="1:8" ht="17.100000000000001" customHeight="1" thickBot="1" x14ac:dyDescent="0.3">
      <c r="G4" s="98"/>
    </row>
    <row r="5" spans="1:8" s="56" customFormat="1" ht="24.9" customHeight="1" thickBot="1" x14ac:dyDescent="0.3">
      <c r="A5" s="355" t="str">
        <f>IF(Sprache="English","topic:",IF(Sprache="Deutsch","Thema:",""))</f>
        <v>Thema:</v>
      </c>
      <c r="B5" s="918" t="s">
        <v>138</v>
      </c>
      <c r="C5" s="919"/>
      <c r="D5" s="919"/>
      <c r="E5" s="919"/>
      <c r="F5" s="919"/>
      <c r="G5" s="920"/>
    </row>
    <row r="6" spans="1:8" s="81" customFormat="1" ht="35.1" customHeight="1" x14ac:dyDescent="0.25">
      <c r="A6" s="928" t="s">
        <v>144</v>
      </c>
      <c r="B6" s="929"/>
      <c r="C6" s="929"/>
      <c r="D6" s="929"/>
      <c r="E6" s="929"/>
      <c r="F6" s="929"/>
      <c r="G6" s="930"/>
    </row>
    <row r="7" spans="1:8" s="82" customFormat="1" ht="35.1" customHeight="1" x14ac:dyDescent="0.25">
      <c r="A7" s="931"/>
      <c r="B7" s="932"/>
      <c r="C7" s="932"/>
      <c r="D7" s="932"/>
      <c r="E7" s="932"/>
      <c r="F7" s="932"/>
      <c r="G7" s="933"/>
    </row>
    <row r="8" spans="1:8" s="81" customFormat="1" ht="35.1" customHeight="1" x14ac:dyDescent="0.25">
      <c r="A8" s="931"/>
      <c r="B8" s="932"/>
      <c r="C8" s="932"/>
      <c r="D8" s="932"/>
      <c r="E8" s="932"/>
      <c r="F8" s="932"/>
      <c r="G8" s="933"/>
      <c r="H8" s="83"/>
    </row>
    <row r="9" spans="1:8" s="81" customFormat="1" ht="34.5" customHeight="1" x14ac:dyDescent="0.25">
      <c r="A9" s="931"/>
      <c r="B9" s="932"/>
      <c r="C9" s="932"/>
      <c r="D9" s="932"/>
      <c r="E9" s="932"/>
      <c r="F9" s="932"/>
      <c r="G9" s="933"/>
      <c r="H9" s="84"/>
    </row>
    <row r="10" spans="1:8" s="81" customFormat="1" ht="35.1" customHeight="1" x14ac:dyDescent="0.25">
      <c r="A10" s="931"/>
      <c r="B10" s="932"/>
      <c r="C10" s="932"/>
      <c r="D10" s="932"/>
      <c r="E10" s="932"/>
      <c r="F10" s="932"/>
      <c r="G10" s="933"/>
    </row>
    <row r="11" spans="1:8" s="81" customFormat="1" ht="42.75" customHeight="1" x14ac:dyDescent="0.25">
      <c r="A11" s="931"/>
      <c r="B11" s="932"/>
      <c r="C11" s="932"/>
      <c r="D11" s="932"/>
      <c r="E11" s="932"/>
      <c r="F11" s="932"/>
      <c r="G11" s="933"/>
      <c r="H11" s="84"/>
    </row>
    <row r="12" spans="1:8" s="81" customFormat="1" ht="35.1" customHeight="1" x14ac:dyDescent="0.25">
      <c r="A12" s="931"/>
      <c r="B12" s="932"/>
      <c r="C12" s="932"/>
      <c r="D12" s="932"/>
      <c r="E12" s="932"/>
      <c r="F12" s="932"/>
      <c r="G12" s="933"/>
    </row>
    <row r="13" spans="1:8" s="81" customFormat="1" ht="35.1" customHeight="1" x14ac:dyDescent="0.25">
      <c r="A13" s="931"/>
      <c r="B13" s="932"/>
      <c r="C13" s="932"/>
      <c r="D13" s="932"/>
      <c r="E13" s="932"/>
      <c r="F13" s="932"/>
      <c r="G13" s="933"/>
    </row>
    <row r="14" spans="1:8" s="82" customFormat="1" ht="35.1" customHeight="1" x14ac:dyDescent="0.25">
      <c r="A14" s="931"/>
      <c r="B14" s="932"/>
      <c r="C14" s="932"/>
      <c r="D14" s="932"/>
      <c r="E14" s="932"/>
      <c r="F14" s="932"/>
      <c r="G14" s="933"/>
    </row>
    <row r="15" spans="1:8" s="81" customFormat="1" ht="35.1" customHeight="1" x14ac:dyDescent="0.25">
      <c r="A15" s="931"/>
      <c r="B15" s="932"/>
      <c r="C15" s="932"/>
      <c r="D15" s="932"/>
      <c r="E15" s="932"/>
      <c r="F15" s="932"/>
      <c r="G15" s="933"/>
      <c r="H15" s="83"/>
    </row>
    <row r="16" spans="1:8" s="81" customFormat="1" ht="35.1" customHeight="1" x14ac:dyDescent="0.25">
      <c r="A16" s="931"/>
      <c r="B16" s="932"/>
      <c r="C16" s="932"/>
      <c r="D16" s="932"/>
      <c r="E16" s="932"/>
      <c r="F16" s="932"/>
      <c r="G16" s="933"/>
      <c r="H16" s="84"/>
    </row>
    <row r="17" spans="1:26" s="81" customFormat="1" ht="35.1" customHeight="1" x14ac:dyDescent="0.25">
      <c r="A17" s="931"/>
      <c r="B17" s="932"/>
      <c r="C17" s="932"/>
      <c r="D17" s="932"/>
      <c r="E17" s="932"/>
      <c r="F17" s="932"/>
      <c r="G17" s="933"/>
    </row>
    <row r="18" spans="1:26" s="81" customFormat="1" ht="42.75" customHeight="1" x14ac:dyDescent="0.25">
      <c r="A18" s="931"/>
      <c r="B18" s="932"/>
      <c r="C18" s="932"/>
      <c r="D18" s="932"/>
      <c r="E18" s="932"/>
      <c r="F18" s="932"/>
      <c r="G18" s="933"/>
      <c r="H18" s="84"/>
    </row>
    <row r="19" spans="1:26" s="81" customFormat="1" ht="35.1" customHeight="1" x14ac:dyDescent="0.25">
      <c r="A19" s="931"/>
      <c r="B19" s="932"/>
      <c r="C19" s="932"/>
      <c r="D19" s="932"/>
      <c r="E19" s="932"/>
      <c r="F19" s="932"/>
      <c r="G19" s="933"/>
    </row>
    <row r="20" spans="1:26" s="81" customFormat="1" ht="35.1" customHeight="1" x14ac:dyDescent="0.25">
      <c r="A20" s="931"/>
      <c r="B20" s="932"/>
      <c r="C20" s="932"/>
      <c r="D20" s="932"/>
      <c r="E20" s="932"/>
      <c r="F20" s="932"/>
      <c r="G20" s="933"/>
    </row>
    <row r="21" spans="1:26" s="82" customFormat="1" ht="35.1" customHeight="1" x14ac:dyDescent="0.25">
      <c r="A21" s="931"/>
      <c r="B21" s="932"/>
      <c r="C21" s="932"/>
      <c r="D21" s="932"/>
      <c r="E21" s="932"/>
      <c r="F21" s="932"/>
      <c r="G21" s="933"/>
    </row>
    <row r="22" spans="1:26" s="82" customFormat="1" ht="35.1" customHeight="1" x14ac:dyDescent="0.25">
      <c r="A22" s="931"/>
      <c r="B22" s="932"/>
      <c r="C22" s="932"/>
      <c r="D22" s="932"/>
      <c r="E22" s="932"/>
      <c r="F22" s="932"/>
      <c r="G22" s="933"/>
      <c r="H22" s="85"/>
    </row>
    <row r="23" spans="1:26" s="82" customFormat="1" ht="35.1" customHeight="1" x14ac:dyDescent="0.25">
      <c r="A23" s="931"/>
      <c r="B23" s="932"/>
      <c r="C23" s="932"/>
      <c r="D23" s="932"/>
      <c r="E23" s="932"/>
      <c r="F23" s="932"/>
      <c r="G23" s="933"/>
      <c r="H23" s="86"/>
    </row>
    <row r="24" spans="1:26" s="82" customFormat="1" ht="35.1" customHeight="1" x14ac:dyDescent="0.25">
      <c r="A24" s="931"/>
      <c r="B24" s="932"/>
      <c r="C24" s="932"/>
      <c r="D24" s="932"/>
      <c r="E24" s="932"/>
      <c r="F24" s="932"/>
      <c r="G24" s="933"/>
    </row>
    <row r="25" spans="1:26" ht="15" customHeight="1" x14ac:dyDescent="0.25">
      <c r="A25" s="931"/>
      <c r="B25" s="932"/>
      <c r="C25" s="932"/>
      <c r="D25" s="932"/>
      <c r="E25" s="932"/>
      <c r="F25" s="932"/>
      <c r="G25" s="933"/>
      <c r="H25" s="87"/>
    </row>
    <row r="26" spans="1:26" ht="36.75" customHeight="1" x14ac:dyDescent="0.25">
      <c r="A26" s="931"/>
      <c r="B26" s="932"/>
      <c r="C26" s="932"/>
      <c r="D26" s="932"/>
      <c r="E26" s="932"/>
      <c r="F26" s="932"/>
      <c r="G26" s="933"/>
      <c r="Y26" s="88"/>
      <c r="Z26" s="88"/>
    </row>
    <row r="27" spans="1:26" ht="17.100000000000001" customHeight="1" x14ac:dyDescent="0.25">
      <c r="A27" s="931"/>
      <c r="B27" s="932"/>
      <c r="C27" s="932"/>
      <c r="D27" s="932"/>
      <c r="E27" s="932"/>
      <c r="F27" s="932"/>
      <c r="G27" s="933"/>
    </row>
    <row r="28" spans="1:26" ht="30" customHeight="1" x14ac:dyDescent="0.25">
      <c r="A28" s="931"/>
      <c r="B28" s="932"/>
      <c r="C28" s="932"/>
      <c r="D28" s="932"/>
      <c r="E28" s="932"/>
      <c r="F28" s="932"/>
      <c r="G28" s="933"/>
      <c r="W28" s="88"/>
      <c r="X28" s="61"/>
    </row>
    <row r="29" spans="1:26" ht="17.100000000000001" customHeight="1" x14ac:dyDescent="0.25">
      <c r="A29" s="931"/>
      <c r="B29" s="932"/>
      <c r="C29" s="932"/>
      <c r="D29" s="932"/>
      <c r="E29" s="932"/>
      <c r="F29" s="932"/>
      <c r="G29" s="933"/>
      <c r="Q29" s="89"/>
      <c r="R29" s="89"/>
      <c r="V29" s="92"/>
      <c r="W29" s="92"/>
      <c r="X29" s="61"/>
    </row>
    <row r="30" spans="1:26" ht="17.100000000000001" customHeight="1" x14ac:dyDescent="0.25">
      <c r="A30" s="931"/>
      <c r="B30" s="932"/>
      <c r="C30" s="932"/>
      <c r="D30" s="932"/>
      <c r="E30" s="932"/>
      <c r="F30" s="932"/>
      <c r="G30" s="933"/>
    </row>
    <row r="31" spans="1:26" ht="17.100000000000001" customHeight="1" x14ac:dyDescent="0.25">
      <c r="A31" s="931"/>
      <c r="B31" s="932"/>
      <c r="C31" s="932"/>
      <c r="D31" s="932"/>
      <c r="E31" s="932"/>
      <c r="F31" s="932"/>
      <c r="G31" s="933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</row>
    <row r="32" spans="1:26" ht="17.100000000000001" customHeight="1" x14ac:dyDescent="0.4">
      <c r="A32" s="931"/>
      <c r="B32" s="932"/>
      <c r="C32" s="932"/>
      <c r="D32" s="932"/>
      <c r="E32" s="932"/>
      <c r="F32" s="932"/>
      <c r="G32" s="933"/>
      <c r="H32" s="93"/>
      <c r="I32" s="93"/>
      <c r="J32" s="93"/>
      <c r="K32" s="93"/>
    </row>
    <row r="33" spans="1:24" ht="17.100000000000001" customHeight="1" x14ac:dyDescent="0.25">
      <c r="A33" s="931"/>
      <c r="B33" s="932"/>
      <c r="C33" s="932"/>
      <c r="D33" s="932"/>
      <c r="E33" s="932"/>
      <c r="F33" s="932"/>
      <c r="G33" s="933"/>
    </row>
    <row r="34" spans="1:24" ht="17.100000000000001" customHeight="1" x14ac:dyDescent="0.25">
      <c r="A34" s="931"/>
      <c r="B34" s="932"/>
      <c r="C34" s="932"/>
      <c r="D34" s="932"/>
      <c r="E34" s="932"/>
      <c r="F34" s="932"/>
      <c r="G34" s="933"/>
      <c r="Q34" s="89"/>
      <c r="R34" s="89"/>
      <c r="V34" s="92"/>
      <c r="W34" s="92"/>
      <c r="X34" s="61"/>
    </row>
    <row r="35" spans="1:24" ht="17.100000000000001" customHeight="1" x14ac:dyDescent="0.25">
      <c r="A35" s="931"/>
      <c r="B35" s="932"/>
      <c r="C35" s="932"/>
      <c r="D35" s="932"/>
      <c r="E35" s="932"/>
      <c r="F35" s="932"/>
      <c r="G35" s="933"/>
      <c r="Q35" s="89"/>
      <c r="R35" s="89"/>
      <c r="V35" s="92"/>
      <c r="W35" s="92"/>
      <c r="X35" s="61"/>
    </row>
    <row r="36" spans="1:24" ht="17.100000000000001" customHeight="1" x14ac:dyDescent="0.25">
      <c r="A36" s="931"/>
      <c r="B36" s="932"/>
      <c r="C36" s="932"/>
      <c r="D36" s="932"/>
      <c r="E36" s="932"/>
      <c r="F36" s="932"/>
      <c r="G36" s="933"/>
    </row>
    <row r="37" spans="1:24" ht="17.100000000000001" customHeight="1" x14ac:dyDescent="0.25">
      <c r="A37" s="931"/>
      <c r="B37" s="932"/>
      <c r="C37" s="932"/>
      <c r="D37" s="932"/>
      <c r="E37" s="932"/>
      <c r="F37" s="932"/>
      <c r="G37" s="933"/>
    </row>
    <row r="38" spans="1:24" ht="17.100000000000001" customHeight="1" x14ac:dyDescent="0.25">
      <c r="A38" s="931"/>
      <c r="B38" s="932"/>
      <c r="C38" s="932"/>
      <c r="D38" s="932"/>
      <c r="E38" s="932"/>
      <c r="F38" s="932"/>
      <c r="G38" s="933"/>
    </row>
    <row r="39" spans="1:24" ht="17.100000000000001" customHeight="1" x14ac:dyDescent="0.25">
      <c r="A39" s="931"/>
      <c r="B39" s="932"/>
      <c r="C39" s="932"/>
      <c r="D39" s="932"/>
      <c r="E39" s="932"/>
      <c r="F39" s="932"/>
      <c r="G39" s="933"/>
    </row>
    <row r="40" spans="1:24" ht="17.100000000000001" customHeight="1" x14ac:dyDescent="0.25">
      <c r="A40" s="931"/>
      <c r="B40" s="932"/>
      <c r="C40" s="932"/>
      <c r="D40" s="932"/>
      <c r="E40" s="932"/>
      <c r="F40" s="932"/>
      <c r="G40" s="933"/>
    </row>
    <row r="41" spans="1:24" ht="17.100000000000001" customHeight="1" x14ac:dyDescent="0.25">
      <c r="A41" s="931"/>
      <c r="B41" s="932"/>
      <c r="C41" s="932"/>
      <c r="D41" s="932"/>
      <c r="E41" s="932"/>
      <c r="F41" s="932"/>
      <c r="G41" s="933"/>
    </row>
    <row r="42" spans="1:24" ht="17.100000000000001" customHeight="1" thickBot="1" x14ac:dyDescent="0.3">
      <c r="A42" s="934"/>
      <c r="B42" s="935"/>
      <c r="C42" s="935"/>
      <c r="D42" s="935"/>
      <c r="E42" s="935"/>
      <c r="F42" s="935"/>
      <c r="G42" s="936"/>
    </row>
    <row r="46" spans="1:24" ht="17.100000000000001" customHeight="1" thickBot="1" x14ac:dyDescent="0.3"/>
    <row r="47" spans="1:24" ht="30" customHeight="1" thickBot="1" x14ac:dyDescent="0.45">
      <c r="A47" s="90"/>
      <c r="B47" s="91"/>
      <c r="C47" s="216" t="str">
        <f>IF(Sprache="English","issue date:",IF(Sprache="Deutsch","Erstelldatum",""))</f>
        <v>Erstelldatum</v>
      </c>
      <c r="D47" s="218" t="str">
        <f>TEXT(Infos!$B$6, "TT-MMM-JJJJ")</f>
        <v>00-Jan-1900</v>
      </c>
      <c r="E47" s="217" t="str">
        <f>IF(Sprache="English","issued by:",IF(Sprache="Deutsch","durchgeführt von:",""))</f>
        <v>durchgeführt von:</v>
      </c>
      <c r="F47" s="305">
        <f>Infos!D5</f>
        <v>0</v>
      </c>
      <c r="G47" s="219" t="str">
        <f>" \ "&amp;Infos!D6</f>
        <v xml:space="preserve"> \ </v>
      </c>
      <c r="J47" s="61"/>
    </row>
    <row r="100" spans="1:2" ht="17.100000000000001" customHeight="1" x14ac:dyDescent="0.25">
      <c r="A100" s="307" t="str">
        <f>IF(Sprache="English","work instructions",IF(Sprache="Deutsch","Arbeitshinweis",""))</f>
        <v>Arbeitshinweis</v>
      </c>
      <c r="B100" s="310" t="str">
        <f>A100</f>
        <v>Arbeitshinweis</v>
      </c>
    </row>
  </sheetData>
  <sheetProtection sheet="1" scenarios="1" formatCells="0" formatColumns="0" formatRows="0" insertRows="0" insertHyperlinks="0" deleteRows="0" selectLockedCells="1"/>
  <mergeCells count="5">
    <mergeCell ref="B5:G5"/>
    <mergeCell ref="B1:C1"/>
    <mergeCell ref="B2:C2"/>
    <mergeCell ref="E1:G1"/>
    <mergeCell ref="A6:G42"/>
  </mergeCells>
  <phoneticPr fontId="0" type="noConversion"/>
  <pageMargins left="0.62992125984251968" right="0.19685039370078741" top="0.98425196850393704" bottom="0.86614173228346458" header="0.35433070866141736" footer="0.31496062992125984"/>
  <pageSetup paperSize="9" scale="33" orientation="portrait" r:id="rId1"/>
  <headerFooter alignWithMargins="0">
    <oddHeader>&amp;R&amp;G&amp;L&amp;"Arial,Bold"&amp;22Produktion&amp;C&amp;"Arial,Bold"&amp;26 Arbeitshinweis</oddHeader>
    <oddFooter>&amp;L&amp;"Arial"&amp;10
Created 23.09.2024/gschfab
Checked 25.09.2024/ku-schuemi
Approved 26.09.2024/ku-kasiniv&amp;C&amp;"Arial"&amp;10
HA
Industrialization
uncontrolled copy when printed_x000D_&amp;1#&amp;"Calibri"&amp;10&amp;K000000 medmix C&amp;R&amp;"Arial"&amp;10
ERW-Sampling (Template)
263453_34
&amp;P /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Infos</vt:lpstr>
      <vt:lpstr>Einstellrichtwerte</vt:lpstr>
      <vt:lpstr>Aggregat 2</vt:lpstr>
      <vt:lpstr>Rüsthilfe</vt:lpstr>
      <vt:lpstr>Arbeitshinweis</vt:lpstr>
      <vt:lpstr>mmorccm</vt:lpstr>
      <vt:lpstr>'25-Schussanalyse'!Print_Area</vt:lpstr>
      <vt:lpstr>'Aggregat 2'!Print_Area</vt:lpstr>
      <vt:lpstr>Arbeitshinweis!Print_Area</vt:lpstr>
      <vt:lpstr>Einstellrichtwerte!Print_Area</vt:lpstr>
      <vt:lpstr>Füllstudie!Print_Area</vt:lpstr>
      <vt:lpstr>Infos!Print_Area</vt:lpstr>
      <vt:lpstr>'Probleme &amp; Massnahmen 1'!Print_Area</vt:lpstr>
      <vt:lpstr>'Probleme &amp; Massnahmen 2'!Print_Area</vt:lpstr>
      <vt:lpstr>Rüsthilfe!Print_Area</vt:lpstr>
      <vt:lpstr>Siegelpunkt!Print_Area</vt:lpstr>
      <vt:lpstr>Wärmebild!Print_Area</vt:lpstr>
      <vt:lpstr>'Probleme &amp; Massnahmen 1'!Print_Titles</vt:lpstr>
      <vt:lpstr>'Probleme &amp; Massnahmen 2'!Print_Titles</vt:lpstr>
      <vt:lpstr>Sprache</vt:lpstr>
      <vt:lpstr>wahl</vt:lpstr>
      <vt:lpstr>Wahl2</vt:lpstr>
    </vt:vector>
  </TitlesOfParts>
  <Company> 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Set-Up Parameters - Sampling</dc:title>
  <dc:subject> </dc:subject>
  <dc:creator>Gschwend, Fabian</dc:creator>
  <cp:keywords> </cp:keywords>
  <dc:description> </dc:description>
  <cp:lastModifiedBy>Weber, Alexsander</cp:lastModifiedBy>
  <cp:lastPrinted>2024-09-23T11:35:39Z</cp:lastPrinted>
  <dcterms:created xsi:type="dcterms:W3CDTF">2024-05-12T11:58:30Z</dcterms:created>
  <dcterms:modified xsi:type="dcterms:W3CDTF">2025-10-29T12:52:24Z</dcterms:modified>
  <cp:category> 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XLS_FOOTER_CENTER">
    <vt:lpwstr>HA
Industrialization
uncontrolled copy when printed</vt:lpwstr>
  </property>
  <property fmtid="{D5CDD505-2E9C-101B-9397-08002B2CF9AE}" pid="3" name="XLS_FOOTER_LEFT">
    <vt:lpwstr>Created 23.09.2024/gschfab
Checked 25.09.2024/ku-schuemi
Approved 26.09.2024/ku-kasiniv</vt:lpwstr>
  </property>
  <property fmtid="{D5CDD505-2E9C-101B-9397-08002B2CF9AE}" pid="4" name="XLS_FOOTER_RIGHT">
    <vt:lpwstr>ERW-Sampling (Template)
263453_34
&amp;p / &amp;n</vt:lpwstr>
  </property>
  <property fmtid="{D5CDD505-2E9C-101B-9397-08002B2CF9AE}" pid="5" name="XLS_HEADER_RIGHT">
    <vt:lpwstr>Einstellrichtwerte-Bemusterung</vt:lpwstr>
  </property>
  <property fmtid="{D5CDD505-2E9C-101B-9397-08002B2CF9AE}" pid="6" name="EXAMPLE">
    <vt:lpwstr>263453</vt:lpwstr>
  </property>
  <property fmtid="{D5CDD505-2E9C-101B-9397-08002B2CF9AE}" pid="7" name="XLS_HEADER_LEFT">
    <vt:lpwstr>Set-Up Parameters - Sampling</vt:lpwstr>
  </property>
  <property fmtid="{D5CDD505-2E9C-101B-9397-08002B2CF9AE}" pid="8" name="MSIP_Label_83a24d69-9117-4cec-9d94-113f2f236879_Enabled">
    <vt:lpwstr>true</vt:lpwstr>
  </property>
  <property fmtid="{D5CDD505-2E9C-101B-9397-08002B2CF9AE}" pid="9" name="MSIP_Label_83a24d69-9117-4cec-9d94-113f2f236879_SetDate">
    <vt:lpwstr>2025-05-06T13:20:21Z</vt:lpwstr>
  </property>
  <property fmtid="{D5CDD505-2E9C-101B-9397-08002B2CF9AE}" pid="10" name="MSIP_Label_83a24d69-9117-4cec-9d94-113f2f236879_Method">
    <vt:lpwstr>Standard</vt:lpwstr>
  </property>
  <property fmtid="{D5CDD505-2E9C-101B-9397-08002B2CF9AE}" pid="11" name="MSIP_Label_83a24d69-9117-4cec-9d94-113f2f236879_Name">
    <vt:lpwstr>MEDMIX CONFIDENTIAL - WITH MARKING</vt:lpwstr>
  </property>
  <property fmtid="{D5CDD505-2E9C-101B-9397-08002B2CF9AE}" pid="12" name="MSIP_Label_83a24d69-9117-4cec-9d94-113f2f236879_SiteId">
    <vt:lpwstr>28162a53-3436-4b85-9d99-eb06928adc06</vt:lpwstr>
  </property>
  <property fmtid="{D5CDD505-2E9C-101B-9397-08002B2CF9AE}" pid="13" name="MSIP_Label_83a24d69-9117-4cec-9d94-113f2f236879_ActionId">
    <vt:lpwstr>200cb5c9-f130-4a08-aa61-ad5afcdbec93</vt:lpwstr>
  </property>
  <property fmtid="{D5CDD505-2E9C-101B-9397-08002B2CF9AE}" pid="14" name="MSIP_Label_83a24d69-9117-4cec-9d94-113f2f236879_ContentBits">
    <vt:lpwstr>2</vt:lpwstr>
  </property>
  <property fmtid="{D5CDD505-2E9C-101B-9397-08002B2CF9AE}" pid="15" name="MSIP_Label_83a24d69-9117-4cec-9d94-113f2f236879_Tag">
    <vt:lpwstr>10, 3, 0, 1</vt:lpwstr>
  </property>
</Properties>
</file>